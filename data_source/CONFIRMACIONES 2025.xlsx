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Mi unidad\00 CONFIRMACIONES\"/>
    </mc:Choice>
  </mc:AlternateContent>
  <xr:revisionPtr revIDLastSave="0" documentId="13_ncr:1_{F0F06397-2BBD-4DBD-A9A9-20430CF41953}" xr6:coauthVersionLast="47" xr6:coauthVersionMax="47" xr10:uidLastSave="{00000000-0000-0000-0000-000000000000}"/>
  <bookViews>
    <workbookView xWindow="-120" yWindow="-120" windowWidth="20730" windowHeight="11040" xr2:uid="{00000000-000D-0000-FFFF-FFFF00000000}"/>
  </bookViews>
  <sheets>
    <sheet name="CONF " sheetId="1" r:id="rId1"/>
    <sheet name="Voucher" sheetId="2" r:id="rId2"/>
    <sheet name="Voucher OLD" sheetId="3" state="hidden" r:id="rId3"/>
    <sheet name="Datos" sheetId="4" r:id="rId4"/>
    <sheet name="TARIFAS " sheetId="5" r:id="rId5"/>
    <sheet name="Historico TARIFAS "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g59Gms/l0cI1+dCF5dywn2l/6x0VoIYJt5io7iU+8c="/>
    </ext>
  </extLst>
</workbook>
</file>

<file path=xl/calcChain.xml><?xml version="1.0" encoding="utf-8"?>
<calcChain xmlns="http://schemas.openxmlformats.org/spreadsheetml/2006/main">
  <c r="H260" i="6" l="1"/>
  <c r="D260" i="6"/>
  <c r="H259" i="6"/>
  <c r="D259" i="6"/>
  <c r="H258" i="6"/>
  <c r="D258" i="6"/>
  <c r="H257" i="6"/>
  <c r="D257" i="6"/>
  <c r="H256" i="6"/>
  <c r="D256" i="6"/>
  <c r="H255" i="6"/>
  <c r="D255" i="6"/>
  <c r="H254" i="6"/>
  <c r="D254" i="6"/>
  <c r="H253" i="6"/>
  <c r="D253" i="6"/>
  <c r="H252" i="6"/>
  <c r="D252" i="6"/>
  <c r="H251" i="6"/>
  <c r="D251" i="6"/>
  <c r="H250" i="6"/>
  <c r="D250" i="6"/>
  <c r="H249" i="6"/>
  <c r="D249" i="6"/>
  <c r="H248" i="6"/>
  <c r="D248" i="6"/>
  <c r="H247" i="6"/>
  <c r="D247" i="6"/>
  <c r="I246" i="6"/>
  <c r="H246" i="6" s="1"/>
  <c r="E246" i="6"/>
  <c r="D246" i="6"/>
  <c r="I245" i="6"/>
  <c r="H245" i="6" s="1"/>
  <c r="E245" i="6"/>
  <c r="D245" i="6"/>
  <c r="H244" i="6"/>
  <c r="D244" i="6"/>
  <c r="H243" i="6"/>
  <c r="D243" i="6"/>
  <c r="H241" i="6"/>
  <c r="D241" i="6"/>
  <c r="I240" i="6"/>
  <c r="H240" i="6"/>
  <c r="E240" i="6"/>
  <c r="D240" i="6" s="1"/>
  <c r="H239" i="6"/>
  <c r="D239" i="6"/>
  <c r="H238" i="6"/>
  <c r="D238" i="6"/>
  <c r="H235" i="6"/>
  <c r="D235" i="6"/>
  <c r="H234" i="6"/>
  <c r="D234" i="6"/>
  <c r="I233" i="6"/>
  <c r="H233" i="6"/>
  <c r="E233" i="6"/>
  <c r="D233" i="6" s="1"/>
  <c r="I232" i="6"/>
  <c r="H232" i="6"/>
  <c r="E232" i="6"/>
  <c r="D232" i="6" s="1"/>
  <c r="H231" i="6"/>
  <c r="D231" i="6"/>
  <c r="H230" i="6"/>
  <c r="D230" i="6"/>
  <c r="H229" i="6"/>
  <c r="D229" i="6"/>
  <c r="H227" i="6"/>
  <c r="D227" i="6"/>
  <c r="H226" i="6"/>
  <c r="D226" i="6"/>
  <c r="H225" i="6"/>
  <c r="D225" i="6"/>
  <c r="H224" i="6"/>
  <c r="D224" i="6"/>
  <c r="I223" i="6"/>
  <c r="H223" i="6" s="1"/>
  <c r="E223" i="6"/>
  <c r="D223" i="6"/>
  <c r="I222" i="6"/>
  <c r="H222" i="6" s="1"/>
  <c r="E222" i="6"/>
  <c r="D222" i="6"/>
  <c r="I221" i="6"/>
  <c r="H221" i="6" s="1"/>
  <c r="E221" i="6"/>
  <c r="D221" i="6"/>
  <c r="I218" i="6"/>
  <c r="H218" i="6" s="1"/>
  <c r="E218" i="6"/>
  <c r="D218" i="6"/>
  <c r="I217" i="6"/>
  <c r="H217" i="6" s="1"/>
  <c r="E217" i="6"/>
  <c r="D217" i="6"/>
  <c r="I215" i="6"/>
  <c r="H215" i="6" s="1"/>
  <c r="E215" i="6"/>
  <c r="D215" i="6"/>
  <c r="H102" i="6"/>
  <c r="H101" i="6"/>
  <c r="H85" i="6"/>
  <c r="H69" i="6"/>
  <c r="H53" i="6"/>
  <c r="H52" i="6"/>
  <c r="H51" i="6"/>
  <c r="H36" i="6"/>
  <c r="H35" i="6"/>
  <c r="H16" i="6"/>
  <c r="H15" i="6"/>
  <c r="H14" i="6"/>
  <c r="H12" i="6"/>
  <c r="H11" i="6"/>
  <c r="E221" i="5"/>
  <c r="B221" i="5"/>
  <c r="D217" i="5"/>
  <c r="D216" i="5"/>
  <c r="D215" i="5"/>
  <c r="D214" i="5"/>
  <c r="D213" i="5"/>
  <c r="D212" i="5"/>
  <c r="D211" i="5"/>
  <c r="D210" i="5"/>
  <c r="D209" i="5"/>
  <c r="D208" i="5"/>
  <c r="D207" i="5"/>
  <c r="D206" i="5"/>
  <c r="D205" i="5"/>
  <c r="D204" i="5"/>
  <c r="E203" i="5"/>
  <c r="D203" i="5"/>
  <c r="E202" i="5"/>
  <c r="D202" i="5" s="1"/>
  <c r="D201" i="5"/>
  <c r="D200" i="5"/>
  <c r="D198" i="5"/>
  <c r="E197" i="5"/>
  <c r="D197" i="5"/>
  <c r="D196" i="5"/>
  <c r="D195" i="5"/>
  <c r="D166" i="5"/>
  <c r="D165" i="5"/>
  <c r="D85" i="5"/>
  <c r="D84" i="5"/>
  <c r="D83" i="5"/>
  <c r="D74" i="5"/>
  <c r="D73" i="5"/>
  <c r="D71" i="5"/>
  <c r="D70" i="5"/>
  <c r="D69" i="5"/>
  <c r="D68" i="5"/>
  <c r="H67" i="5"/>
  <c r="D67" i="5"/>
  <c r="H66" i="5"/>
  <c r="D66" i="5"/>
  <c r="D61" i="5"/>
  <c r="D48" i="5"/>
  <c r="D44" i="5"/>
  <c r="D41" i="5"/>
  <c r="D40" i="5"/>
  <c r="D33" i="5"/>
  <c r="D32" i="5"/>
  <c r="D13" i="5"/>
  <c r="D12" i="5"/>
  <c r="D11" i="5"/>
  <c r="D10" i="5"/>
  <c r="D8" i="5"/>
  <c r="D7" i="5"/>
  <c r="D6" i="5"/>
  <c r="C25" i="4"/>
  <c r="D24" i="4"/>
  <c r="C24" i="4"/>
  <c r="B24" i="4"/>
  <c r="D21" i="4"/>
  <c r="B21" i="4"/>
  <c r="D20" i="4"/>
  <c r="E20" i="4" s="1"/>
  <c r="D61" i="1" s="1"/>
  <c r="B20" i="4"/>
  <c r="G20" i="4" s="1"/>
  <c r="D19" i="4"/>
  <c r="E19" i="4" s="1"/>
  <c r="D60" i="1" s="1"/>
  <c r="B19" i="4"/>
  <c r="G19" i="4" s="1"/>
  <c r="D18" i="4"/>
  <c r="G18" i="4" s="1"/>
  <c r="B18" i="4"/>
  <c r="C18" i="4" s="1"/>
  <c r="D17" i="4"/>
  <c r="E17" i="4" s="1"/>
  <c r="D58" i="1" s="1"/>
  <c r="C17" i="4"/>
  <c r="B17" i="4"/>
  <c r="G17" i="4" s="1"/>
  <c r="D16" i="4"/>
  <c r="E16" i="4" s="1"/>
  <c r="D57" i="1" s="1"/>
  <c r="C16" i="4"/>
  <c r="B16" i="4"/>
  <c r="G15" i="4"/>
  <c r="D15" i="4"/>
  <c r="E15" i="4" s="1"/>
  <c r="D56" i="1" s="1"/>
  <c r="C15" i="4"/>
  <c r="B15" i="4"/>
  <c r="D14" i="4"/>
  <c r="E14" i="4" s="1"/>
  <c r="D55" i="1" s="1"/>
  <c r="J265" i="2" s="1"/>
  <c r="C14" i="4"/>
  <c r="B14" i="4"/>
  <c r="E13" i="4"/>
  <c r="D13" i="4"/>
  <c r="B13" i="4"/>
  <c r="C13" i="4" s="1"/>
  <c r="E12" i="4"/>
  <c r="D12" i="4"/>
  <c r="B12" i="4"/>
  <c r="G12" i="4" s="1"/>
  <c r="D11" i="4"/>
  <c r="E11" i="4" s="1"/>
  <c r="D52" i="1" s="1"/>
  <c r="J190" i="2" s="1"/>
  <c r="B11" i="4"/>
  <c r="G11" i="4" s="1"/>
  <c r="D10" i="4"/>
  <c r="G10" i="4" s="1"/>
  <c r="C10" i="4"/>
  <c r="B10" i="4"/>
  <c r="D9" i="4"/>
  <c r="E9" i="4" s="1"/>
  <c r="D50" i="1" s="1"/>
  <c r="J140" i="2" s="1"/>
  <c r="B9" i="4"/>
  <c r="G9" i="4" s="1"/>
  <c r="D8" i="4"/>
  <c r="E8" i="4" s="1"/>
  <c r="D49" i="1" s="1"/>
  <c r="C8" i="4"/>
  <c r="B8" i="4"/>
  <c r="G7" i="4"/>
  <c r="D7" i="4"/>
  <c r="E7" i="4" s="1"/>
  <c r="C7" i="4"/>
  <c r="B7" i="4"/>
  <c r="E6" i="4"/>
  <c r="D6" i="4"/>
  <c r="C6" i="4"/>
  <c r="B6" i="4"/>
  <c r="E5" i="4"/>
  <c r="D5" i="4"/>
  <c r="B5" i="4"/>
  <c r="C5" i="4" s="1"/>
  <c r="E4" i="4"/>
  <c r="D4" i="4"/>
  <c r="E21" i="4" s="1"/>
  <c r="B4" i="4"/>
  <c r="G4" i="4" s="1"/>
  <c r="H188" i="3"/>
  <c r="G185" i="3"/>
  <c r="G184" i="3"/>
  <c r="G180" i="3"/>
  <c r="G178" i="3"/>
  <c r="G176" i="3"/>
  <c r="H169" i="3"/>
  <c r="G166" i="3"/>
  <c r="G165" i="3"/>
  <c r="G159" i="3"/>
  <c r="G157" i="3"/>
  <c r="G147" i="3"/>
  <c r="G146" i="3"/>
  <c r="G140" i="3"/>
  <c r="G142" i="3" s="1"/>
  <c r="G138" i="3"/>
  <c r="H131" i="3"/>
  <c r="G128" i="3"/>
  <c r="G127" i="3"/>
  <c r="G123" i="3"/>
  <c r="G121" i="3"/>
  <c r="G119" i="3"/>
  <c r="G109" i="3"/>
  <c r="G108" i="3"/>
  <c r="G104" i="3"/>
  <c r="G102" i="3"/>
  <c r="H112" i="3" s="1"/>
  <c r="G100" i="3"/>
  <c r="G90" i="3"/>
  <c r="G89" i="3"/>
  <c r="G83" i="3"/>
  <c r="H93" i="3" s="1"/>
  <c r="G81" i="3"/>
  <c r="G71" i="3"/>
  <c r="G70" i="3"/>
  <c r="G64" i="3"/>
  <c r="H74" i="3" s="1"/>
  <c r="G62" i="3"/>
  <c r="H55" i="3"/>
  <c r="G52" i="3"/>
  <c r="G51" i="3"/>
  <c r="G47" i="3"/>
  <c r="G45" i="3"/>
  <c r="G43" i="3"/>
  <c r="G33" i="3"/>
  <c r="G32" i="3"/>
  <c r="G26" i="3"/>
  <c r="G28" i="3" s="1"/>
  <c r="G24" i="3"/>
  <c r="C17" i="3"/>
  <c r="C15" i="3"/>
  <c r="C13" i="3"/>
  <c r="B11" i="3"/>
  <c r="I392" i="2"/>
  <c r="C390" i="2"/>
  <c r="G388" i="2" s="1"/>
  <c r="C388" i="2"/>
  <c r="B386" i="2"/>
  <c r="D384" i="2"/>
  <c r="I368" i="2"/>
  <c r="C367" i="2"/>
  <c r="C365" i="2"/>
  <c r="G363" i="2" s="1"/>
  <c r="C363" i="2"/>
  <c r="B361" i="2"/>
  <c r="D359" i="2"/>
  <c r="C342" i="2"/>
  <c r="C340" i="2"/>
  <c r="I343" i="2" s="1"/>
  <c r="G338" i="2"/>
  <c r="C338" i="2"/>
  <c r="B336" i="2"/>
  <c r="I342" i="2" s="1"/>
  <c r="D334" i="2"/>
  <c r="I318" i="2"/>
  <c r="I317" i="2"/>
  <c r="C317" i="2"/>
  <c r="C315" i="2"/>
  <c r="G313" i="2" s="1"/>
  <c r="C313" i="2"/>
  <c r="B311" i="2"/>
  <c r="D309" i="2"/>
  <c r="I293" i="2"/>
  <c r="C292" i="2"/>
  <c r="C290" i="2"/>
  <c r="G288" i="2"/>
  <c r="C288" i="2"/>
  <c r="B286" i="2"/>
  <c r="I292" i="2" s="1"/>
  <c r="D284" i="2"/>
  <c r="C265" i="2"/>
  <c r="I268" i="2" s="1"/>
  <c r="C263" i="2"/>
  <c r="B261" i="2"/>
  <c r="D259" i="2"/>
  <c r="I243" i="2"/>
  <c r="J240" i="2"/>
  <c r="C240" i="2"/>
  <c r="C242" i="2" s="1"/>
  <c r="G238" i="2"/>
  <c r="C238" i="2"/>
  <c r="B236" i="2"/>
  <c r="I242" i="2" s="1"/>
  <c r="D234" i="2"/>
  <c r="C217" i="2"/>
  <c r="C215" i="2"/>
  <c r="I218" i="2" s="1"/>
  <c r="G213" i="2"/>
  <c r="C213" i="2"/>
  <c r="B211" i="2"/>
  <c r="D209" i="2"/>
  <c r="I192" i="2"/>
  <c r="C190" i="2"/>
  <c r="G188" i="2" s="1"/>
  <c r="C188" i="2"/>
  <c r="B186" i="2"/>
  <c r="D184" i="2"/>
  <c r="I168" i="2"/>
  <c r="C167" i="2"/>
  <c r="C165" i="2"/>
  <c r="G163" i="2" s="1"/>
  <c r="C163" i="2"/>
  <c r="B161" i="2"/>
  <c r="D159" i="2"/>
  <c r="C142" i="2"/>
  <c r="C140" i="2"/>
  <c r="G138" i="2" s="1"/>
  <c r="C138" i="2"/>
  <c r="B136" i="2"/>
  <c r="I142" i="2" s="1"/>
  <c r="D134" i="2"/>
  <c r="I118" i="2"/>
  <c r="I117" i="2"/>
  <c r="C117" i="2"/>
  <c r="C115" i="2"/>
  <c r="G113" i="2" s="1"/>
  <c r="C113" i="2"/>
  <c r="B111" i="2"/>
  <c r="D109" i="2"/>
  <c r="I93" i="2"/>
  <c r="C92" i="2"/>
  <c r="C90" i="2"/>
  <c r="G88" i="2"/>
  <c r="C88" i="2"/>
  <c r="B86" i="2"/>
  <c r="I92" i="2" s="1"/>
  <c r="D84" i="2"/>
  <c r="C65" i="2"/>
  <c r="I68" i="2" s="1"/>
  <c r="C63" i="2"/>
  <c r="B61" i="2"/>
  <c r="D59" i="2"/>
  <c r="I43" i="2"/>
  <c r="J40" i="2"/>
  <c r="C40" i="2"/>
  <c r="C42" i="2" s="1"/>
  <c r="G38" i="2"/>
  <c r="C38" i="2"/>
  <c r="B36" i="2"/>
  <c r="I42" i="2" s="1"/>
  <c r="D34" i="2"/>
  <c r="C17" i="2"/>
  <c r="C15" i="2"/>
  <c r="I18" i="2" s="1"/>
  <c r="G13" i="2"/>
  <c r="C13" i="2"/>
  <c r="B11" i="2"/>
  <c r="D9" i="2"/>
  <c r="B61" i="1"/>
  <c r="A61" i="1"/>
  <c r="B60" i="1"/>
  <c r="A60" i="1"/>
  <c r="B59" i="1"/>
  <c r="A59" i="1"/>
  <c r="B58" i="1"/>
  <c r="A58" i="1"/>
  <c r="B57" i="1"/>
  <c r="A57" i="1"/>
  <c r="B56" i="1"/>
  <c r="A56" i="1"/>
  <c r="B55" i="1"/>
  <c r="A55" i="1"/>
  <c r="D54" i="1"/>
  <c r="B54" i="1"/>
  <c r="A54" i="1"/>
  <c r="D53" i="1"/>
  <c r="J215" i="2" s="1"/>
  <c r="B53" i="1"/>
  <c r="A53" i="1"/>
  <c r="B52" i="1"/>
  <c r="A52" i="1"/>
  <c r="B51" i="1"/>
  <c r="A51" i="1"/>
  <c r="B50" i="1"/>
  <c r="A50" i="1"/>
  <c r="B49" i="1"/>
  <c r="A49" i="1"/>
  <c r="B48" i="1"/>
  <c r="A48" i="1"/>
  <c r="D47" i="1"/>
  <c r="H54" i="3" s="1"/>
  <c r="B47" i="1"/>
  <c r="A47" i="1"/>
  <c r="D46" i="1"/>
  <c r="H35" i="3" s="1"/>
  <c r="B46" i="1"/>
  <c r="A46" i="1"/>
  <c r="D45" i="1"/>
  <c r="B45" i="1"/>
  <c r="A45" i="1"/>
  <c r="D44" i="1"/>
  <c r="C31" i="1"/>
  <c r="A28" i="1"/>
  <c r="D21" i="1"/>
  <c r="C21" i="1"/>
  <c r="C20" i="1"/>
  <c r="D20" i="1" s="1"/>
  <c r="C19" i="1"/>
  <c r="D19" i="1" s="1"/>
  <c r="C18" i="1"/>
  <c r="D18" i="1" s="1"/>
  <c r="C17" i="1"/>
  <c r="D17" i="1" s="1"/>
  <c r="C16" i="1"/>
  <c r="D16" i="1" s="1"/>
  <c r="C15" i="1"/>
  <c r="D15" i="1" s="1"/>
  <c r="C14" i="1"/>
  <c r="G13" i="4" s="1"/>
  <c r="C13" i="1"/>
  <c r="D13" i="1" s="1"/>
  <c r="C12" i="1"/>
  <c r="D12" i="1" s="1"/>
  <c r="C11" i="1"/>
  <c r="D11" i="1" s="1"/>
  <c r="C10" i="1"/>
  <c r="D10" i="1" s="1"/>
  <c r="C9" i="1"/>
  <c r="D9" i="1" s="1"/>
  <c r="C8" i="1"/>
  <c r="D8" i="1" s="1"/>
  <c r="C7" i="1"/>
  <c r="D7" i="1" s="1"/>
  <c r="C6" i="1"/>
  <c r="D6" i="1" s="1"/>
  <c r="C5" i="1"/>
  <c r="D5" i="1" s="1"/>
  <c r="D22" i="1" l="1"/>
  <c r="D24" i="1" s="1"/>
  <c r="H187" i="3"/>
  <c r="J390" i="2"/>
  <c r="J315" i="2"/>
  <c r="H130" i="3"/>
  <c r="J115" i="2"/>
  <c r="H92" i="3"/>
  <c r="J340" i="2"/>
  <c r="H149" i="3"/>
  <c r="J290" i="2"/>
  <c r="H111" i="3"/>
  <c r="D48" i="1"/>
  <c r="J15" i="3"/>
  <c r="H36" i="3"/>
  <c r="G8" i="4"/>
  <c r="G16" i="4"/>
  <c r="D14" i="1"/>
  <c r="G85" i="3"/>
  <c r="C4" i="4"/>
  <c r="G5" i="4"/>
  <c r="E10" i="4"/>
  <c r="D51" i="1" s="1"/>
  <c r="J165" i="2" s="1"/>
  <c r="C12" i="4"/>
  <c r="E18" i="4"/>
  <c r="D59" i="1" s="1"/>
  <c r="C20" i="4"/>
  <c r="J15" i="2"/>
  <c r="G63" i="2"/>
  <c r="I143" i="2"/>
  <c r="I167" i="2"/>
  <c r="C192" i="2"/>
  <c r="G263" i="2"/>
  <c r="I367" i="2"/>
  <c r="C392" i="2"/>
  <c r="G66" i="3"/>
  <c r="H150" i="3"/>
  <c r="C9" i="4"/>
  <c r="I17" i="2"/>
  <c r="J65" i="2"/>
  <c r="I193" i="2"/>
  <c r="I217" i="2"/>
  <c r="I393" i="2"/>
  <c r="C11" i="4"/>
  <c r="C19" i="4"/>
  <c r="C67" i="2"/>
  <c r="C267" i="2"/>
  <c r="I67" i="2"/>
  <c r="I267" i="2"/>
  <c r="G6" i="4"/>
  <c r="G14" i="4"/>
  <c r="D26" i="1" l="1"/>
  <c r="D25" i="1"/>
  <c r="H73" i="3"/>
  <c r="J90" i="2"/>
  <c r="D62" i="1"/>
  <c r="H168" i="3"/>
  <c r="J365" i="2"/>
  <c r="B30" i="1" l="1"/>
  <c r="A37" i="4" s="1"/>
  <c r="C28" i="1"/>
  <c r="A2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7" authorId="0" shapeId="0" xr:uid="{00000000-0006-0000-0400-000001000000}">
      <text>
        <r>
          <rPr>
            <sz val="11"/>
            <color theme="1"/>
            <rFont val="Calibri"/>
            <scheme val="minor"/>
          </rPr>
          <t>======
ID#AAABhmag1No
tc={E8686A46-6B86-4C28-8A79-936D0454372B}    (2023-11-08 20:39:50)
[Comentario encadenado]
Su versión de Excel le permite leer este comentario encadenado; sin embargo, las ediciones que se apliquen se quitarán si el archivo se abre en una versión más reciente de Excel. Más información: https://go.microsoft.com/fwlink/?linkid=870924
Comentario:
    Semana</t>
        </r>
      </text>
    </comment>
    <comment ref="A129" authorId="0" shapeId="0" xr:uid="{00000000-0006-0000-0400-000002000000}">
      <text>
        <r>
          <rPr>
            <sz val="11"/>
            <color theme="1"/>
            <rFont val="Calibri"/>
            <scheme val="minor"/>
          </rPr>
          <t>======
ID#AAABhmag1Ns
tc={E8686A46-6B86-4C29-8A79-936D0454372B}    (2023-11-08 20:39:50)
[Comentario encadenado]
Su versión de Excel le permite leer este comentario encadenado; sin embargo, las ediciones que se apliquen se quitarán si el archivo se abre en una versión más reciente de Excel. Más información: https://go.microsoft.com/fwlink/?linkid=870924
Comentario:
    Semana</t>
        </r>
      </text>
    </comment>
    <comment ref="A155" authorId="0" shapeId="0" xr:uid="{00000000-0006-0000-0400-000003000000}">
      <text>
        <r>
          <rPr>
            <sz val="11"/>
            <color theme="1"/>
            <rFont val="Calibri"/>
            <scheme val="minor"/>
          </rPr>
          <t>======
ID#AAABhmag1Nw
tc={B532566B-595E-4938-BDA8-AE3CF93AACAC}    (2023-11-08 20:39:50)
[Comentario encadenado]
Su versión de Excel le permite leer este comentario encadenado; sin embargo, las ediciones que se apliquen se quitarán si el archivo se abre en una versión más reciente de Excel. Más información: https://go.microsoft.com/fwlink/?linkid=870924
Comentario:
    Semana</t>
        </r>
      </text>
    </comment>
  </commentList>
  <extLst>
    <ext xmlns:r="http://schemas.openxmlformats.org/officeDocument/2006/relationships" uri="GoogleSheetsCustomDataVersion2">
      <go:sheetsCustomData xmlns:go="http://customooxmlschemas.google.com/" r:id="rId1" roundtripDataSignature="AMtx7mg9VtHAQt8Oak+CT12js6Jxki1gbg=="/>
    </ext>
  </extLst>
</comments>
</file>

<file path=xl/sharedStrings.xml><?xml version="1.0" encoding="utf-8"?>
<sst xmlns="http://schemas.openxmlformats.org/spreadsheetml/2006/main" count="1551" uniqueCount="574">
  <si>
    <t>Titular da Reserva:</t>
  </si>
  <si>
    <t>Data</t>
  </si>
  <si>
    <t>Passeio</t>
  </si>
  <si>
    <t>Valor em Pesos Colombianos P/P</t>
  </si>
  <si>
    <t xml:space="preserve">Valor Total em Pesos Colombianos TOTAL </t>
  </si>
  <si>
    <t>Aluguel De Moto Elétrica 2 Pessoas</t>
  </si>
  <si>
    <t>City Tour Panoramico + Catedral de Sal Regular</t>
  </si>
  <si>
    <t>Bora Bora Bc</t>
  </si>
  <si>
    <t>Walking Tour + Castillo San Felipe 09:00 1PAX</t>
  </si>
  <si>
    <t>Isla Palma</t>
  </si>
  <si>
    <t>PAU´E</t>
  </si>
  <si>
    <t>Bonavida</t>
  </si>
  <si>
    <t>Bora Bora Vip</t>
  </si>
  <si>
    <t>Tour en lancha privativa JOE 2024</t>
  </si>
  <si>
    <t>City Tour + Catedral de Sal Privativo</t>
  </si>
  <si>
    <t>Valor Total</t>
  </si>
  <si>
    <t xml:space="preserve">Desconto </t>
  </si>
  <si>
    <t>(*)</t>
  </si>
  <si>
    <t>Valor Total com Desconto</t>
  </si>
  <si>
    <t>Valor da Entrada</t>
  </si>
  <si>
    <t>Valor Saldo</t>
  </si>
  <si>
    <t>(**)</t>
  </si>
  <si>
    <t>ENTRADA :</t>
  </si>
  <si>
    <t>no cambio dia</t>
  </si>
  <si>
    <t>Dados para depósito
Juliana Rotta 3 / Banco Inter 
Pix CNPJ: 14.909.728.0001/45
Pagamento da entrada e envio do comprovante.</t>
  </si>
  <si>
    <t>OBS:</t>
  </si>
  <si>
    <t>Valor do saldo</t>
  </si>
  <si>
    <t>Voucher The Experience Travel</t>
  </si>
  <si>
    <t>Data:</t>
  </si>
  <si>
    <t>Hora:</t>
  </si>
  <si>
    <t>Tour:</t>
  </si>
  <si>
    <t>Valor a pagar:</t>
  </si>
  <si>
    <t>Local:</t>
  </si>
  <si>
    <t>(+55) 11 981758504</t>
  </si>
  <si>
    <t>Luis Domingo Blasini</t>
  </si>
  <si>
    <t>Valor taxas:</t>
  </si>
  <si>
    <t>(55) 11 981758504</t>
  </si>
  <si>
    <t>Embarque:</t>
  </si>
  <si>
    <t>Nº de pessoas:</t>
  </si>
  <si>
    <t>Valor a pagar no passeio:</t>
  </si>
  <si>
    <t>Valor taxas a pagar no  passeio:</t>
  </si>
  <si>
    <t xml:space="preserve">Apresentar-se na recepção de hotel as  05:30 para embarcar na porta 02 da Marina la Bodeguita as 5:50. Pagar a taxas portuárias COP 23.000 (valor por pessoa– somente em dinheiro. Valor sujeito a alterações) na porta 02 para entrar na Marina. </t>
  </si>
  <si>
    <t>Entrada PP</t>
  </si>
  <si>
    <t>Entrada TOT</t>
  </si>
  <si>
    <t>Saldo</t>
  </si>
  <si>
    <t>SaldoTOT</t>
  </si>
  <si>
    <t>Entrada: COP 21.202.000 no cambio 21/08/2024 = R$ 2.222,46
Dados para depósito
Banco Inter
Juliana Rotta 3
Pix CNPJ: 14.909.728.0001/45</t>
  </si>
  <si>
    <t>1</t>
  </si>
  <si>
    <t xml:space="preserve"> $  2 </t>
  </si>
  <si>
    <t>3</t>
  </si>
  <si>
    <t xml:space="preserve"> $  4 </t>
  </si>
  <si>
    <t>5</t>
  </si>
  <si>
    <t xml:space="preserve"> $  6 </t>
  </si>
  <si>
    <t>7</t>
  </si>
  <si>
    <t xml:space="preserve"> $  8 </t>
  </si>
  <si>
    <t>9</t>
  </si>
  <si>
    <t xml:space="preserve"> $  10 </t>
  </si>
  <si>
    <t>TET</t>
  </si>
  <si>
    <t>PVP</t>
  </si>
  <si>
    <t>ENTRADA</t>
  </si>
  <si>
    <t>NETO</t>
  </si>
  <si>
    <t>TEXTOS</t>
  </si>
  <si>
    <t>LOCAL</t>
  </si>
  <si>
    <t>VALOR TAXAS</t>
  </si>
  <si>
    <t>TEXTO TAXAS</t>
  </si>
  <si>
    <t>HORA</t>
  </si>
  <si>
    <t>Voucher</t>
  </si>
  <si>
    <t>taxas</t>
  </si>
  <si>
    <t>-</t>
  </si>
  <si>
    <t>0</t>
  </si>
  <si>
    <t>Aluguel De Moto Elétrica</t>
  </si>
  <si>
    <t>Para passear sem passar calor e curtir o melhor de Cartagena em grande estilo.
 Apresentar-se na hora reservada na Cidade Amuralhada, Calle 2a de Badillo 36 – 54 - 58 P 1 emabixo do hostal Badillo 
 Inclui
 Passeio de 60min
 Capacete
 Treinamento – tempo não descontado do tour
 Hidratação
 Valor do saldo a pagar:
 Na hora de realizar o registro em Ecoway realizar o pagamento de COP 56.000 referente ao aluguel para uma pessoa.</t>
  </si>
  <si>
    <t>Apresentar-se na Cidade Amuralhada, Calle 2a de Badillo 36 – 54 - 58 P 1 emabixo do hostal Badillo 
 Diagonal ao Restaurante La Vitrola</t>
  </si>
  <si>
    <t>Para passear sem passar calor e curtir o melhor de Cartagena em grande estilo.
 Apresentar-se na hora reservada naCidade Amuralhada, Calle 2a de Badillo 36 – 54 - 58 P 1 emabixo do hostal Badillo 
 Inclui
 Passeio de 60min
 Capacete
 Treinamento – tempo não descontado do tour
 Hidratação
 Valor do saldo a pagar:
 Na hora de realizar o registro em Ecoway realizar o pagamento de COP 80.000 referente ao aluguel para duas pessoas.</t>
  </si>
  <si>
    <t>Aula De Salsa</t>
  </si>
  <si>
    <t>Aula de salsa para aprender a bailar o ritmo tipico colombiano e conhecer mais da cultura localApresentar-se as 17hs no Lunático Cooking Studio na Calle del Pedregal n 29, no Bairro de Getsemani. 
 Inclui: 
 Garrafa de agua ou Mojito
 Valor a pagar no passeio
 No dia da aula realizar o pagamento de COP 85.000 referente ao saldo por pessoa no dinheiro.</t>
  </si>
  <si>
    <t>Apresentar-se  no Lunático Cooking Studio na Calle del Pedregal n 29, no Bairro de Getsemani.</t>
  </si>
  <si>
    <t>17:00</t>
  </si>
  <si>
    <t>Aula De Salsa Criança</t>
  </si>
  <si>
    <t>Aula de salsa para aprender a bailar o ritmo tipico colombiano e conhecer mais da cultura localApresentar-se as 17hs no Lunático Cooking Studio na Calle del Pedregal n 29, no Bairro de Getsemani. 
 Inclui: 
 Garrafa de agua ou Mojito
 Valor a pagar no passeio
 No dia da aula realizar o pagamento de COP 42.500 referente ao saldo por pessoa no dinheiro.</t>
  </si>
  <si>
    <t>Um passeio de catamarã com paradas para mergulho e snorkel nas águas das baías das Ilhas do Rosário. Ideal para quem gosta de nadar e navegar sem paradas em praias.
 Apresentar-se 08am na Marina La Bodeguita porta 3 onde o catamarã Bona Vida estará ancorado, e a tripulação dará toda assistência no embarque as 8:30am
 Aproximadamente às 14h40 iniciaremos nosso retorno ao cais Los Pegasos.
 desembarcar às 16h00.
 Inclui:
 Petiscos (Empanadas, quibbe e palitos de queijo).
 Open bar de bebidas não alcoólicas (água, refrigerante, limonada natural e suco temperado).
 Almoço (Arroz com frutos do mar ou arroz com legumes).
 Máscaras e tubos para mergulho com snorkel (não guiado).
 Serviço de bar a bordo (Venda de bebidas não alcoólicas).
 Valor do saldo a pagar:
 Para garantir a reserva, é necessário pagar o saldo de COP 370.000 (COP 350.000 passeio + COP 23.000 taxas), a través do link de pagamento com cartão de crédito enviado por mensagem, referente ao saldo por pessoa e taxas portuárias no deck de Bonavida. O pagamento é não reembolsável.</t>
  </si>
  <si>
    <t>Apresentar-se na Marina La Bodeguita porta 3 onde o catamarã Bona Vida estará ancorado. A tripulação dará toda assistência no embarque. Retorno para a Marina Los Pegasos às 16:00.</t>
  </si>
  <si>
    <t xml:space="preserve"> 26500</t>
  </si>
  <si>
    <t>Pagar a taxas portuárias COP 26.500 (valor por pessoa – somente em dinheiro. Valor sujeito a alterações)</t>
  </si>
  <si>
    <t>08:30</t>
  </si>
  <si>
    <t>Bonavida Criança</t>
  </si>
  <si>
    <t>Um passeio de catamarã com paradas para mergulho e snorkel nas águas das baías das Ilhas do Rosário. Ideal para quem gosta de nadar e navegar sem paradas em praias.
 Apresentar-se no deck de madeira ao lado da Marina La Bodeguita as 08am onde o catamarã Bona Vida estará ancorado e a tripulação dará toda assistência no embarque. 
 Inclui
 Taxas portuárias
 Suco de boas vindas
 Almoço – opção de arroz de marisco, frango ou vegetariano com salada. Acompanha suco
 Assentos e redes para tomar sol
 Snorkel e máscaras
 Valor do saldo a pagar:
 No dia do passeio, realizar o pagamento de COP 205.000 só em cartão (COP 185.000 passeio + COP 23.000 taxas), referente ao saldo por pessoa e taxas portuárias no deck de Bonavida</t>
  </si>
  <si>
    <t>Excelente opção aproveitar um dia espetacular na Praia ouvindo boa música e com uma paisagem impressionante. 
 Apresentar-se as 07:30 na porta 03 da Marina la Bodeguita. Pagar a taxas portuárias COP 26.500 + Seguro 5.000 = 31.500COP (valor por pessoa – somente em dinheiro. Valor sujeito a alterações)
 Inclui
 Ida e volta em lancha rápida
 Coquetel de boas-vindas
 Almoço - opção: peixe, frango ou vegetariano, com arroz de coco, salada e banana frita. Acompanha suco
 Camas de praia e DJ 
 Obs: no caso de ser um passageiro, dependendo da ocupação, poderão ser acomodados em espreguiçadeiras ao inves de camas de praia
 Nao Inclui: cama da primeira fila e a mesma deve ser contratada na hora do embarque direto com bora (custo de COP 80.000 aproximadamente)
 Valor do saldo a pagar:
 Para garantir a reserva, pagamento do saldo de COP 250.000 por pessoa através do link de pagamento com cartão de crédito enviado por mensagem, não reembolsável</t>
  </si>
  <si>
    <t xml:space="preserve">Apresentar-se  na porta 03 da Marina la Bodeguita. </t>
  </si>
  <si>
    <t>34000</t>
  </si>
  <si>
    <t>Pagar a taxas portuárias COP 29.000 + Seguro COP 5.000 (valor por pessoa – somente em dinheiro. Valor sujeito a alterações)</t>
  </si>
  <si>
    <t xml:space="preserve"> 07:20</t>
  </si>
  <si>
    <t>Excelente opção aproveitar um dia espetacular na praia com boa música e paisagem impressionante.
 Apresentar-se as 07:20 na porta 03 da Marina la Bodeguita. Pagar a taxas portuárias COP 26.500 + Seguro COP 5.000 = COP 31.500(valor por pessoa – somente em dinheiro. Valor sujeito a alterações)
 Inclui
 Ida e volta em lancha rápida
 Coquetel de boas-vindas
 Almoço - opções: paella, frango ou vegetariano. Acompanha suco
 Cama de praia e toalha
 Lounge com A/C, DJ, praia VIP e acesso ao Bora Bora Beach Club
 Nao Inclui: cama da primeira fila e a mesma deve ser contratada na hora do embarque direto com bora (custo de COP 80.000 aproximadamente)
 Valor do saldo a pagar:
 Para garantir a reserva, pagamento do saldo de COP 330.000 por pessoa através do link de pagamento com cartão de crédito enviado por mensagem, não reembolsável</t>
  </si>
  <si>
    <t xml:space="preserve">Coralina Isleño </t>
  </si>
  <si>
    <t>Um dia de charme, elegância e atendimento excelente em decks semi privativos com a beleza do Caribe a seus pés. Ideal para quem gosta de nadar e fazer snorkel.
 Apresentar-se na recepção do hotel para esperar a van de Coralina Island. Para hotéis em Bocagrande a partir de 07:45am e hotéis na cidade amuralhada a partir de 08
 Inclui
 Taxas portuárias 
 Traslado de ida a Marina la Bodeguita
 Ida e volta em lancha rápida 
 Taça de vinho de boas-vindas
 Almoço a la carte e sobremesa.
 Camas de praia e toalha
 Valor do saldo a pagar:
 Na ilha no final do passeio realizar o pagamento de COP 270.000 + Pagar as tasas portuarias COP 26.500 + Seguro COP 5.000 (valor sujeito a altearções) = COP 276.000 por pessoa referente ao saldo do passeio e taxas portuárias no dinheiro ou cartão de crédito.</t>
  </si>
  <si>
    <t>Apresentar-se na recepção do hotel para esperar a van de Coralina Island. Para hotéis em Bocagrande a partir de 07:45am e hotéis na cidade amuralhada a partir de 08am</t>
  </si>
  <si>
    <t>07:45</t>
  </si>
  <si>
    <t xml:space="preserve">Coralina VIP </t>
  </si>
  <si>
    <t>Um dia de charme, elegância e atendimento excelente em decks semi privativos com a beleza do Caribe a seus pés. Ideal para quem gosta de nadar e fazer snorkel.
 Apresentar-se na recepção do hotel para esperar a van de Coralina Island. Para hotéis em Bocagrande a partir de 07:45am e hotéis na cidade amuralhada a partir de 08am na recepção.
 Inclui
 Taxas portuárias 
 Traslado de ida a Marina la Bodeguita
 Ida e volta em lancha rápida 
 Taça de vinho de boas-vindas
 Almoço a la carte e sobremesa.
 Camas de praia e toalha
 Valor do saldo a pagar:
 Na ilha no final do passeio realizar o pagamento de COP 405.000 + Pagar a taxas portuárias COP 26.500+ Seguro COP 5.000 (valor sujeito a altearções) = COP 426.000 por pessoa referente ao saldo do passeio e taxas portuárias no dinheiro ou cartão de crédito.</t>
  </si>
  <si>
    <t>Apresentar-se na recepção do hotel para esperar a van de Coralina Island. Para hotéis em Bocagrande a partir de 07:45am e hotéis na cidade amuralhada a partir de 08am na recepção.</t>
  </si>
  <si>
    <t>Degustação De Cervejas</t>
  </si>
  <si>
    <t>Degustação de cervejas artesanais Colombianas
 Uma imersão na cena das cervejas colombianas, seus sabores, preparos e produção.
 Degustação de 10 cervejas diferentes
 Acompanhada com ceviche e sanduíche
 Atividade bilíngue (inglês/espanhol)
 Valor de saldo a pagar por pessoa: .000 pesos
 Horário das 15 as 16:30h
 De terça a sábado
 Mínimo de 2 pessoas – para grupos consultar valores e horarios</t>
  </si>
  <si>
    <t>Degustação De Rum Colombiano</t>
  </si>
  <si>
    <t>Aprender sobre o universo do rum colombiano com chocolotes para harmonizar sabores.
 Degustação de variedade runs colombianos em diferentes preparos e chocolates locais para ressaltar o sabor da bebida nacional
 Atividade bilíngue (inglês/espanhol) 
 Valor do saldo a pagar: No dia da aula realizar o pagamento de COP 230.000 por pessoa referente ao saldo da atividade no dinheiro.</t>
  </si>
  <si>
    <t>Ensaio Fotográfico</t>
  </si>
  <si>
    <t>Cartagena é uma das cidades mais bonitas do mundo, declarada Patrimônio da Unesco desde
 1984. Uma sessão de fotos na cidade é a forma perfeita de eternizar os momentos especiais
 que famílias, casais e amigos passam por aqui.
 Ponto de encontro as 16:00hs na Iglesia San Pedro Claver.
  No dia anterior ao passeio, será enviado contato do fotógrafo.
 Inclui
 Sessão de duas horas na cidade amuralhada das 4pm as 6pm.
 Entrega de fotos tiradas em alta resolução e em uma pasta adicional para a Internet As
 fotografias incluem edição e retoque geral
 Uma foto impressa, tamanho 20 x30 (como uma amostra da qualidade do trabalho) Envio por
 We Transfer (alta resolução) e pelo email (baixa resolução)
 Média de 50 a 60 fotos selecionadas
 Valor a pagar no passeio:
 No local do passeio realizar o pagamento de COP 360.000 referente ao saldo do passeio no
 dinheiro.</t>
  </si>
  <si>
    <t>Apresentar-se na Iglesia San Pedro Claver.
  No dia anterior ao passeio, será enviado contato do fotógrafo.</t>
  </si>
  <si>
    <t>Experiência Culinária</t>
  </si>
  <si>
    <t>Descubra a identidade caribenha da gastronomia de Cartagena preparando uma refeição de quatro tempos com um chef local em um estúdio culinário incrível com uma vista incrível da cidade. 
 Apresentar-se as 10:30am no Lunático Cooking Studio na Calle del Pedregal n 29, no Bairro de Getsemani. 
 Inclui: 
 Suco de boas Vindas
 Ingredientes e cozinha equipada com chef local 
 Degustação do menu final com cerveja ou vinho
 Valor do saldo a pagar:No dia da aula realizar o pagamento de COP 250.000 por pessoa referente ao saldo da atividade no dinheiro.</t>
  </si>
  <si>
    <t>10:30</t>
  </si>
  <si>
    <t>Experiência Culinária Criança</t>
  </si>
  <si>
    <t>Descubra a identidade caribenha da gastronomia de Cartagena preparando uma refeição de quatro tempos com um chef local em um estúdio culinário incrível com uma vista incrível da cidade. 
 Apresentar-se as 10:30am no Lunático Cooking Studio na Calle del Pedregal n 29, no Bairro de Getsemani. 
 Inclui: 
 Suco de boas Vindas
 Ingredientes e cozinha equipada com chef local 
 Degustação do menu final com bebida
 Valor do saldo a pagar:No dia da aula realizar o pagamento de COP 125.000 por pessoa referente ao saldo da atividade no dinheiro.</t>
  </si>
  <si>
    <t>Fenix Cena</t>
  </si>
  <si>
    <t>Praia de areia branca, palmeiras e camas de praia com um piscina de frente para o Caribe a só 10 minutos de Cartagena
 Apresentar-se as 18:40 na Porta 02 da Marina La Bodeguita. Pagar os impostos de COP 14.000 por pessoa . Dentro da marina, a pessoa responsável de Fenix Beach dará assistência para o embarque.
 Inclui:
 Bebida de boas vindas
 Jantar - prato a la carte do menu (exceto Costillas al Whisky, Pago Rojo, Cazuela de Mariscos e a Posta Cartagenera) e sobremesa do dia
 Dj, fogueira e mesa no bar
 ou restaurante
 Valor do saldo a pagar:
 No Fenix realizar o pagamento de COP 195.000 referente ao saldo do passeio por pessoa no dinheiro ou cartão de crédito.</t>
  </si>
  <si>
    <t>Apresentar-se  na Porta 02 da Marina La Bodeguita. Dentro da marina, a pessoa responsável de Fenix Beach dará assistência para o embarque.</t>
  </si>
  <si>
    <t xml:space="preserve"> 14000</t>
  </si>
  <si>
    <t>Pagar as taxas de COP 14.000 por pessoa</t>
  </si>
  <si>
    <t>18:40</t>
  </si>
  <si>
    <t>Fenix Cena Criança</t>
  </si>
  <si>
    <t>Praia de areia branca, palmeiras e camas de praia com um piscina de frente para o Caribe a só 10 minutos de Cartagena
 Apresentar-se as 18:40 na Porta 02 da Marina La Bodeguita. Pagar os impostos de COP 14.000 por pessoa . Dentro da marina, a pessoa responsável de Fenix Beach dará assistência para o embarque.
 Inclui:
 Bebida de boas vindas
 Jantar - prato a la carte do menu (exceto Costillas al Whisky, Pago Rojo, Cazuela de Mariscos e a Posta Cartagenera) e sobremesa do dia
 Dj, fogueira e mesa no bar
 ou restaurante
 Valor do saldo a pagar:
 No Fenix realizar o pagamento de COP 150.000 referente ao saldo do passeio por pessoa no dinheiro ou cartão de crédito.</t>
  </si>
  <si>
    <t>Fenix Decoração na praia</t>
  </si>
  <si>
    <t>Para garantir a reserva, pagamento do saldo de COP 150.000 por através do link de pagamento com cartão de crédito enviado por mensagem, não reembolsável</t>
  </si>
  <si>
    <t>Fenix Decoração ninho</t>
  </si>
  <si>
    <t>Fenix Decoração ninho 5/10 pax</t>
  </si>
  <si>
    <t>Para garantir a reserva, pagamento do saldo de COP 250.000 por através do link de pagamento com cartão de crédito enviado por mensagem, não reembolsável</t>
  </si>
  <si>
    <t>Fenix Pasadia</t>
  </si>
  <si>
    <t>Praia de areia branca, palmeiras e camas de praia com um piscina de frente para o Caribe a só 10 minutos de Cartagena
 Apresentar-se na porta 01 da Marina la Bodeguita. Pagar a taxas portuárias COP 14.000 (valor por pessoa– somente em dinheiro. Sujeito a alteração) na porta 01 para entrar na Marina. 
 Inclui:
 Bebida de boas vindas
 Almoço - opção: peixe, frango ou vegano, com arroz de coco, salada 
 e banana frita. Acompanha suco e sobremesa
  Camas de praia, piscina, quadra de volêi
 Valor do saldo a pagar:
 No guichê de Fenix na hora do registro realizar o pagamento de COP 210.000 referente ao saldo do passeio por pessoa no dinheiro ou cartão de crédito.</t>
  </si>
  <si>
    <t xml:space="preserve">Apresentar-se na porta 01 da Marina la Bodeguita. </t>
  </si>
  <si>
    <t>Pagar a taxas portuárias COP 14.000 (valor por pessoa– somente em dinheiro. Sujeito a alteração) na porta 01 para entrar na Marina.</t>
  </si>
  <si>
    <t>Fenix Pasadia Criança</t>
  </si>
  <si>
    <t>Fenix Pasadia+Cena</t>
  </si>
  <si>
    <t>Insta Tour Ciudad Amurallada</t>
  </si>
  <si>
    <t>Cada rua na Cidade Amuralhada tem o seu encanto mas os spots mais INSTAGRAMÁVEIS você visita em nosso tour.
 Apresentar-se as 16:30hs na Iglesia San Pedro Claver para encontrar com o guia. 
 Inclui
 Guia turístico profissional em português
  Caminhada nas calles mais Instagramáveis 
 Subida na Cúpula da Igreja 
 Pôr do sol e Drink em rooftop da cidade
 Tratamento digital de 5 fotos tiradas no celular
 Valor a pagar no passeio
  No dia do passeio realizar o pagamento de COP 115.000 referente ao saldo do passeio por pessoa somente em dinheiro</t>
  </si>
  <si>
    <t>Apresentar-se  na Iglesia San Pedro Claver para encontrar com o guia.</t>
  </si>
  <si>
    <t xml:space="preserve"> 16:30</t>
  </si>
  <si>
    <t>Insta Tour Ciudad Amurallada Hotel</t>
  </si>
  <si>
    <t>Cada rua na Cidade Amuralhada tem o seu encanto mas os spots mais INSTAGRAMÁVEIS você visita em nosso tour.
 Apresentar-se as 16:30hs na recepção do hotel para encontrar com o guia. 
 Inclui
 Guia turístico profissional em português
  Caminhada nas calles mais Instagramáveis 
 Subida na Cúpula da Igreja 
 Pôr do sol e Drink em rooftop da cidade
 Tratamento digital de 5 fotos tiradas no celular
 Valor a pagar no passeio
  No dia do passeio realizar o pagamento de COP 115.000 referente ao saldo do passeio por pessoa somente em dinheiro</t>
  </si>
  <si>
    <t>Apresentar-sena recepçâo do hotel para encontrar com o guia.</t>
  </si>
  <si>
    <t>Isla Bela</t>
  </si>
  <si>
    <t>Um dia no paraíso com boa praia e bela paisagem. Opção ideal para quem quer sossego e gosta de nadar.
 Apresentar-se as 07:30 na porta 03 da Marina la Bodeguita. Pagar a taxas portuárias + seguro COP 31.500 (valor por pessoa– somente em dinheiro) 
 Inclui
 Ida e volta em lancha rápida
 Coquetel de Boas-vindas (não alcoólico)
 Almoço - opção: peixe, frango ou vegetariano, com arroz de coco, salada e banana frita. Acompanha suco
 Cadeiras de praia 
 Opcional Visita ao Oceanário (entrada não incluída) – avisar diretamente na lancha na hora do embarque se desejar visitar o Oceanário. 
 Valor do saldo a pagar:
 Para garantir a reserva, pagamento do saldo de COP 240.000 por pessoa através do link de pagamento com cartão de crédito enviado por mensagem, não reembolsável</t>
  </si>
  <si>
    <t xml:space="preserve"> 31500</t>
  </si>
  <si>
    <t>Pagar a taxas portuárias COP 26.500 + Seguro COP 5.000 (valor por pessoa – somente em dinheiro. Valor sujeito a alterações)</t>
  </si>
  <si>
    <t>07:30</t>
  </si>
  <si>
    <t>Isla Bela Criança</t>
  </si>
  <si>
    <t>Um dia no paraíso com boa praia e bela paisagem. Opção ideal para quem quer sossego e gosta de nadar.
 Apresentar-se as 07:30 na porta 03 da Marina la Bodeguita. Pagar a taxas portuárias+ seguro COP 31.500 (valor por pessoa– somente em dinheiro)
 Inclui
 Ida e volta em lancha rápida
 Coquetel de Boas-vindas (não alcoólico)
 Almoço - opção: peixe, frango ou vegetariano, com arroz de coco, salada e banana frita. Acompanha suco
 Cadeiras de praia.
 Opcional Visita ao Oceanário (entrada não incluída) – avisar diretamente na lancha na hora do embarque se desejar visitar o Oceanário. 
 Valor do saldo a pagar:
 Para garantir a reserva, pagamento do saldo de COP 220.000 por pessoa através do link de pagamento com cartão de crédito enviado por mensagem, não reembolsável</t>
  </si>
  <si>
    <t xml:space="preserve">Isla Bela </t>
  </si>
  <si>
    <t xml:space="preserve">Isla Bela Criança </t>
  </si>
  <si>
    <t>Isla Del Encanto</t>
  </si>
  <si>
    <t>Localizada em Baru e com boa estrutura de hotel. Ideal para famílias e com crianças pequenas.
 Apresentar-se na recepção do hotel para esperar a van a partir das 08:15am. Pagar a taxas portuárias COP 23.000 (valor por pessoa – somente em dinheiro. Valor sujeito a alterações) na van para entrar na Marina. 
 Inclui
 Ida e volta em lancha rápida 
 Suco de boas-vindas
 Almoço - opção: peixe, frango ou vegetariano, com arroz de coco, salada e banana frita. Acompanha suco
 Cadeiras de praia e toalhas 
 Valor do saldo a pagar:
 No guichê de Isla del Encanto na hora do registro realizar o pagamento de COP 232.000 referente ao saldo do passeio por pessoa no dinheiro ou cartão de crédito.</t>
  </si>
  <si>
    <t xml:space="preserve">Apresentar-se na recepção do hotel para esperar a van. </t>
  </si>
  <si>
    <t>26500</t>
  </si>
  <si>
    <t>Pagar a taxas portuárias COP 26.500(valor por pessoa– somente em dinheiro) na van para entrar na Marina.</t>
  </si>
  <si>
    <t>08:15</t>
  </si>
  <si>
    <t>Isla Del Encanto Criança até 10 anos</t>
  </si>
  <si>
    <t>Localizada em Baru e com boa estrutura de hotel. Ideal para famílias e com crianças pequenas.
 Apresentar-se na recepção do hotel para esperar a van a partir das 08:15am. Pagar a taxas portuárias COP 23.000 (valor por pessoa – somente em dinheiro. Valor sujeito a alterações) na van para entrar na Marina. 
 Inclui
 Ida e volta em lancha rápida 
 Suco de boas-vindas
 Almoço - opção: peixe, frango ou vegetariano, com arroz de coco, salada e banana frita. Acompanha suco
 Cadeiras de praia e toalhas 
 Valor do saldo a pagar:
 No guichê de Isla del Encanto na hora do registro realizar o pagamento de COP 120.000 referente ao saldo do passeio por pessoa no dinheiro ou cartão de crédito.</t>
  </si>
  <si>
    <t>Isla Del Encanto Criança até 4 anos</t>
  </si>
  <si>
    <t>Localizada em Baru e com boa estrutura de hotel. Ideal para famílias e com crianças pequenas.
 Apresentar-se na recepção do hotel para esperar a van a partir das 08:15am. Pagar a taxas portuárias COP 23.000 (valor por pessoa – somente em dinheiro. Valor sujeito a alterações) na van para entrar na Marina. 
 Inclui
 Ida e volta em lancha rápida 
 Suco de boas-vindas
 Almoço - opção: peixe, frango ou vegetariano, com arroz de coco, salada e banana frita. Acompanha suco
 Cadeiras de praia e toalhas 
 Valor do saldo a pagar:
 No guichê de Isla del Encanto na hora do registro realizar o pagamento de COP 100.000 referente ao saldo do passeio por pessoa no dinheiro ou cartão de crédito.</t>
  </si>
  <si>
    <t>Isla Del Encanto TA</t>
  </si>
  <si>
    <t>Localizada em Baru e com boa estrutura de hotel. Ideal para famílias e com crianças pequenas.
 Apresentar-se na recepção do hotel para esperar a van a partir das 08:15am. Pagar a taxas portuárias COP 23.000 (valor por pessoa – somente em dinheiro. Valor sujeito a alterações) na van para entrar na Marina. 
 Inclui
 Ida e volta em lancha rápida 
 Suco de boas-vindas
 Almoço - opção: peixe, frango ou vegetariano, com arroz de coco, salada e banana frita. Acompanha suco
 Cadeiras de praia e toalhas 
 Valor do saldo a pagar:
 No guichê de Isla del Encanto na hora do registro realizar o pagamento de COP 200.000 referente ao saldo do passeio por pessoa no dinheiro ou cartão de crédito.</t>
  </si>
  <si>
    <t>Isla Del Pirata</t>
  </si>
  <si>
    <t>Um beach club para quem gosta de nadar, remar e ficar na água o dia inteiro. Perfeito para casais e amigos. 
 Apresentar-se 08:15 no guichê 01 de Isla del Pirata na Marina la Bodeguita. Pagar a taxas portuárias COP 23.000 (valor por pessoa – somente em dinheiro. Valor sujeito a alterações) para entrar na porta 01 da Marina. 
 Inclui 
 Ida e volta em lancha rápida 
 Coquetel de boas vindas
 Almoço - opção: peixe com arroz de coco, salada e banana frita. Ou voucher de consumo no restaurante de COP 40.000 
 Cadeiras de praias e toalhas
 Valor do saldo a pagar: 
 No guichê de Isla de Pirata na hora do registro realizar o pagamento de COP 160.000 referente ao saldo do passeio por pessoa no dinheiro ou cartão de crédito.</t>
  </si>
  <si>
    <t>Apresentar-se 08:15 no guichê 01 de Isla del Pirata na Marina la Bodeguita. Pagar a taxas portuárias COP 23.000 (somente em dinheiro – valor por pessoa) para entrar na porta 01 da Marina.</t>
  </si>
  <si>
    <t>Isla Del Pirata Criança</t>
  </si>
  <si>
    <t>Um beach club para quem gosta de nadar, remar e ficar na água o dia inteiro. Perfeito para casais e amigos. 
 Apresentar-se 08:15 no guichê 01 de Isla del Pirata na Marina la Bodeguita. Pagar a taxas portuárias COP 23.000 (somente em dinheiro – valor por pessoa) para entrar na porta 01 da Marina. 
 Inclui 
 Ida e volta em lancha rápida 
 Coquetel de boas vindas
 Almoço - opção: peixe com arroz de coco, salada e banana frita. Ou voucher de consumo no restaurante de COP 40.000 
 Cadeiras de praias e toalhas
 Valor do saldo a pagar:
 No guichê de Isla de Pirata na hora do registro realizar o pagamento de COP 130.000 referente ao saldo do passeio por pessoa no dinheiro ou cartão de crédito.</t>
  </si>
  <si>
    <t>Isla del Sol</t>
  </si>
  <si>
    <t>Isla del Sol é excelente para famílias e casais curtirem o dia com infra estrutura de hotel e piscina
 Apresentar-se as 07:50 na porta 04 da Marina la Bodeguita onde a pessoa responsável pelo embarque de Isla del Sol dará o suporte no embarque. Pagar a taxas portuárias COP 26.500 (valor por pessoa – somente em dinheiro. Valor sujeito a alterações) 
 Inclui:
 - Frutas tropicais de boas vindas.
 - Almoço típico (peixe frito ou frango, arroz com coco, mandioca frita, patacones, salada, bebidas não alcoólicas e sobremesa). 
 - Cadeiras, guarda sol, piscina (com agua salgada), redes para descanso, 
 - Tour panorâmico pelo Parque Nacional Natural Corales del Rosario com ida ao Oceanário (entrada opcional - não incluída) 
 Pagamento do saldo do passeio:
 Para garantir a reserva, pagamento do saldo de COP 270.000 por pessoa através do link de pagamento com cartão de crédito enviado por mensagem, não reembolsável</t>
  </si>
  <si>
    <t>Apresentar-sena porta 04 da Marina la Bodeguita onde a pessoa responsável pelo embarque de Isla del Sol dará o suporte no embarque.</t>
  </si>
  <si>
    <t>29000</t>
  </si>
  <si>
    <t>Pagar a taxas portuárias COP 29.000(valor por pessoa– somente em dinheiro) na van para entrar na Marina.</t>
  </si>
  <si>
    <t xml:space="preserve"> 07:50</t>
  </si>
  <si>
    <t>Isla del Sol Criança 4 até 10 anos</t>
  </si>
  <si>
    <t>Isla del Sol é excelente para famílias e casais curtirem o dia com infra estrutura de hotel e piscina
 Apresentar-se as 07:50 na porta 04 da Marina la Bodeguita onde a pessoa responsável pelo embarque de Isla del Sol dará o suporte no embarque. Pagar a taxas portuárias COP 26.500 (valor por pessoa – somente em dinheiro. Valor sujeito a alterações) 
 Pagar a taxas portuárias COP 26.500 (valor por pessoa – somente em dinheiro. Valor sujeito a alterações) 
 Inclui:
 - Ida e volta em lancha rápida 
 - Frutas tropicais de boas vindas.
 - Almoço típico (peixe frito ou frango, arroz com coco, mandioca frita, patacones, salada, bebidas não alcoólicas e sobremesa). 
 - Cadeiras, guarda sol, piscina (com agua salgada), redes para descanso, 
 - Tour panorâmico pelo Parque Nacional Natural Corales del Rosario com ida ao Oceanário (entrada opcional - não incluída) 
 Pagamento do saldo do passeio:
 Para garantir a reserva, pagamento do saldo de COP 184.000 por pessoa através do link de pagamento com cartão de crédito enviado por mensagem, não reembolsável</t>
  </si>
  <si>
    <t>Isla del Sol Criança de 2 até 3 anos</t>
  </si>
  <si>
    <t>Isla del Sol é excelente para famílias e casais curtirem o dia com infra estrutura de hotel e piscina
 Apresentar-se as 07:50 na porta 04 da Marina la Bodeguita onde a pessoa responsável pelo embarque de Isla del Sol dará o suporte no embarque. Pagar a taxas portuárias COP 26.500 (valor por pessoa – somente em dinheiro. Valor sujeito a alterações) 
 Pagar a taxas portuárias COP 26.500 (valor por pessoa – somente em dinheiro. Valor sujeito a alterações) 
 Inclui:
 - Ida e volta em lancha rápida 
 - Frutas tropicais de boas vindas.
 - Almoço típico (peixe frito ou frango, arroz com coco, mandioca frita, patacones, salada, bebidas não alcoólicas e sobremesa). 
 - Cadeiras, guarda sol, piscina (com agua salgada), redes para descanso, 
 - Tour panorâmico pelo Parque Nacional Natural Corales del Rosario com ida ao Oceanário (entrada opcional - não incluída) 
 Pagamento do saldo do passeio:
 Para garantir a reserva, pagamento do saldo de COP 120.000 por pessoa através do link de pagamento com cartão de crédito enviado por mensagem, não reembolsável</t>
  </si>
  <si>
    <t>Isla del Sol parada</t>
  </si>
  <si>
    <t>Isla del Sol é excelente para famílias e casais curtirem o dia com infra estrutura de hotel e piscina
 Inclui:
 - Frutas tropicais de boas vindas.
 - Almoço típico (peixe frito ou frango, arroz com coco, mandioca frita, patacones, salada, bebidas não alcoólicas e sobremesa). 
 - Cadeiras, guarda sol, piscina (com agua salgada), redes para descanso, 
 - Tour panorâmico pelo Parque Nacional Natural Corales del Rosario com ida ao Oceanário (entrada opcional - não incluída) 
 Pagamento do saldo do passeio:
 Para garantir a reserva, pagamento do saldo de COP 234.000 por pessoa através do link de pagamento com cartão de crédito enviado por mensagem, não reembolsável</t>
  </si>
  <si>
    <t>Mergulhar em um sonho de viagem para conhecer uma das Ilhas da parte de San Bernardo do Arquipélago, vale a pena a longa viagem
 Apresentar-se as 5:30 na recepção. Pagar a taxas portuárias COP 26.500 (valor por pessoa– somente em dinheiro. Valor sujeito a alterações) na porta 02 para entrar na Marina. 
 Inclui
 Ida e volta em lancha rápida
 Sucol de boas-vindas
 Almoço - opção: peixe, frango ou vegetariano, com arroz de coco, salada 
 e banana frita. Acompanha suco
 Cadeiras de praia
 Valor do saldo a pagar:
 Para garantir a reserva, pagamento de COP 330.000 +5% referente ao saldo do passeio por pessoa no dinheiro ou cartão de crédito.</t>
  </si>
  <si>
    <t>Apresentar-se  na porta 02 da Marina la Bodeguita, onde a pessoa responsável pelo embarque e dará o suporte no embarque.</t>
  </si>
  <si>
    <t>Pagar a taxas portuárias COP 29.000 (valor por pessoa– somente em dinheiro) na van para entrar na Marina.</t>
  </si>
  <si>
    <t>05:45</t>
  </si>
  <si>
    <t>Islabela parada</t>
  </si>
  <si>
    <t>Um dia no paraíso com boa praia e bela paisagem. Opção ideal para quem quer sossego e gosta de nadar.
 Inclui
 4 espreguiçadeiras duplas e uma individual.
 Valor do saldo a pagar:
 Para garantir a reserva, pagamento do saldo de COP 150.000 por pessoa através do link de pagamento com cartão de crédito enviado por mensagem, não reembolsável sendo COP 70.000 consumíveis em comidas ou bebidas.</t>
  </si>
  <si>
    <t>Luxury Criança</t>
  </si>
  <si>
    <t>Perfeito para quem busca areia branca e mar azul. Ideal para grupos de amigos.
 Apresentar-se as 07:15 na porta 04 da Marina la Bodeguita. Pagar a taxas portuárias COP 23.000 (valor por pessoa– somente em dinheiro. Valor sujeito a alterações)na porta 04 para entrar na Marina. 
 Inclui
 Ida e volta em lancha rápida 
 Embarque prioritário
 Almoço - opção: peixe, frango ou vegetariano, com arroz de coco, salada e banana frita. Caiaque, snorkel e quadra de vôlei
 Camas de praia 
 Valor do saldo a pagar:
 Para garantir a reserva, pagamento do saldo de COP 125.000 por pessoa através do link de pagamento com cartão de crédito enviado por mensagem, não reembolsável</t>
  </si>
  <si>
    <t>Apresentar-se as 07:15 na porta 04 da Marina la Bodeguita. Pagar as taxas portuárias COP 23.000 (valor por pessoa – somente em dinheiro) na porta 04 para entrar na Marina</t>
  </si>
  <si>
    <t>Luxury Open Bar</t>
  </si>
  <si>
    <t>Perfeito para quem busca areia branca e mar azul. Opção com open bar de bedidas nacionais. Ideal para grupos de amigos.
 Apresentar-se as 07:15 na porta 04 da Marina la Bodeguita. Pagar a taxas portuárias COP 23.000 (valor por pessoa– somente em dinheiro. Valor sujeito a alterações)na porta 04 para entrar na Marina. 
 Inclui
 Ida e volta em lancha rápida 
 Embarque prioritário
 Bebidas não alcoólicas (água, refrigerante, limonada natural), coquetéis com licor nacional (mojito, cuba libre, caipirinha, coquetéis da casa) e cervejas nacionais
 Almoço - opção: peixe, frango ou vegetariano, com arroz de coco, salada e banana frita. Caiaque, snorkel e quadra de vôlei
 Camas de praia 
 Obs: no caso de ser um passageiro, dependendo da ocupação, poderão ser acomodados em espreguiçadeiras ao inves de camas de praia
 Valor do saldo a pagar:
 Para garantir a reserva, pagamento do saldo de COP 230.000 por pessoa através do link de pagamento com cartão de crédito enviado por mensagem, não reembolsável</t>
  </si>
  <si>
    <t>Mangata Beach Club</t>
  </si>
  <si>
    <t>Um Beach Club para os amantes da gastronomia, do bom serviço e de experiências exclusivas. Ideal para casais e amigos aproveitarem as belezas naturais com sofisticação e bom gosto.
 Apresentar-se as 07:20 na porta 04 da Marina la Bodeguita. Pagar a taxas portuárias COP 23.000 (valor por pessoa – somente em dinheiro. Valor sujeito a alterações
 Inclui
 Ida e Volta em lancha rápida
 Bebida de boas-vindas
 Almoço a la carte – 08 opções de menu
 Cadeiras de praia, caiaque e snorkel
 Ducha de água doce e toalha
 Apresentar-se as 07:20 na porta 04 da Marina la Bodeguita. Pagar a taxas portuárias COP 23.000 (valor por pessoa – somente em dinheiro. Valor sujeito a alterações.
 Valor a pagar no dia do passeio
 No dia do tour realizar o pagamento de COP 290.000 por pessoa, referente ao saldo do passeio.</t>
  </si>
  <si>
    <t xml:space="preserve">Apresentar-se  na porta 04 da Marina la Bodeguita. </t>
  </si>
  <si>
    <t>Mangata Beach Club criança</t>
  </si>
  <si>
    <t>Um Beach Club para os amantes da gastronomia, do bom serviço e de experiências exclusivas. Ideal para casais e amigos aproveitarem as belezas naturais com sofisticação e bom gosto.
 Apresentar-se as 07:20 na porta 04 da Marina la Bodeguita. Pagar a taxas portuárias COP 23.000 (valor por pessoa – somente em dinheiro. Valor sujeito a alterações
 Inclui
 Ida e Volta em lancha rápida
 Bebida de boas-vindas
 Almoço a la carte – 08 opções de menu
 Cadeiras de praia, caiaque e snorkel
 Ducha de água doce e toalha
 Apresentar-se as 07:20 na porta 04 da Marina la Bodeguita. Pagar a taxas portuárias COP 23.000 (valor por pessoa – somente em dinheiro. Valor sujeito a alterações.
 Valor a pagar no dia do passeio
 No dia do tour realizar o pagamento de COP 270.000 por pessoa, referente ao saldo do passeio.</t>
  </si>
  <si>
    <t>Mergulho Com Cilindro Padi</t>
  </si>
  <si>
    <t>Para mergulhadores que já possuem uma certificação, oferecemos mergulhos divertidos todos os dias, saindo de Cartagena.
 Valor do saldo a pagar:
 Na ilha na hora do registro realizar o pagamento de 224.000 referente ao saldo do passeio por pessoa no dinheiro ou cartão de crédito. certificação, oferecemos mergulhos divertidos todos os dias, saindo de Cartagena.
 Apresentar-se na hora combinada no Deck de madeira ao lado da Marina La Bodeguita para embarque.
 Inclui
 Ida e volta em lancha rápida 
 Day use sem consumação no Blue Apple Beach Club
 Equipamento de mergulho completo
 2 mergulhos na água do mar aberto
 Acompanhado por um profissional certificado da PADI 
 Água suco, frutas e lanches
 Fotos mediante solicitação
 Valor do saldo a pagar:
 Na ilha na hora do registro realizar o pagamento de COP 351.000 referente ao saldo do passeio por pessoa em dinheiro.</t>
  </si>
  <si>
    <t>Mergulho Com Cilindro Primeiro Mergulho</t>
  </si>
  <si>
    <t>Para mergulhadores que não possuem uma certificação, oferecemos mergulhos divertidos todos os dias, saindo de Cartagena.
 Apresentar-se na hora combinada no Deck de madeira ao lado da Marina La Bodeguita para embarque.
 Inclui
 Ida e volta em lancha rápida 
 Day use sem consumação no Blue Apple Beach Club
 Sessão teórica curta
 Prática em águas confinadas para se sentir confortável e desenvolver habilidades.
 Equipamento de mergulho completo
 Mergulho 100% assistido e guiado em mar aberto com um instrutor profissional da PADI
 Água suco, frutas e lanches
 Fotos mediante solicitação
 Valor do saldo a pagar:
 Na ilha na hora do registro realizar o pagamento de COP 396.000 referente ao saldo do passeio por pessoa em dinheiro.</t>
  </si>
  <si>
    <t>Namaste</t>
  </si>
  <si>
    <t>Um dia em um beach club intimista para conexão com a natureza em grande estilo e bem pertinho de Cartagena. 
 Apresentar-se as 08:45 am na Praia de Castillo Grande, atrás do Hospital de Bocagrande onde a pessoa responsável pelo embarque estará esperando no banner de Namastê e dará assistência. O embarque é feito na praia direto na agua, recomendamos ir de shorts e chinelos. 
 Inclui: 
 Ida e volta em lancha rápida 
 Coquetel de boas-vindas 
 Voucher de 40.000 consumível em bebidas ou comida
 Quiosque e toalha
 Valor do saldo a pagar:
 Na ilha na hora do registro realizar o pagamento de COP 144.000 referente ao saldo do passeio por pessoa no dinheiro ou cartão de crédito.</t>
  </si>
  <si>
    <t>Namaste Entardecer</t>
  </si>
  <si>
    <t>Um dia em um beach club intimista para conexão com a natureza em grande estilo e bem pertinho de Cartagena. 
 Apresentar-se as 08:45 am na Praia de Castillo Grande, atrás do Hospital de Bocagrande onde a pessoa responsável pelo embarque estará esperando no banner de Namastê e dará assistência. O embarque é feito na praia direto na agua, recomendamos ir de shorts e chinelos. 
 Inclui: 
 Ida às 09 am ou 10am e volta às 09pm em lancha rápida 
 Bebida de boas vindas
 Voucher de 40.000 consumível em bebidas ou comida
 Quiosque exclusivo e toalha
 2 por 1 em coquetéis de 3pm a 5pm
 Fogueira na hora do entardecer
 Valor do saldo a pagar:
 Na ilha na hora do registro realizar o pagamento de COP 200.000 referente ao saldo do passeio por pessoa no dinheiro ou cartão de crédito.</t>
  </si>
  <si>
    <t>Apresentar-seam na Praia de Castillo Grande, atrás do Hospital de Bocagrande onde a pessoa responsável pelo embarque estará esperando no banner de Namastê e dará assistência. O embarque é feito na praia direto na agua, recomendamos ir de shorts e chinelos.</t>
  </si>
  <si>
    <t xml:space="preserve"> 08:45 </t>
  </si>
  <si>
    <t>Namaste Holistico</t>
  </si>
  <si>
    <t>Um dia em um beach club intimista para conexão com a natureza em grande estilo e bem pertinho de Cartagena. 
 Apresentar-se as 08:45 am na Praia de Castillo Grande, atrás do Hospital de Bocagrande onde a pessoa responsável pelo embarque estará esperando no banner de Namastê e dará assistência. O embarque é feito na praia direto na agua, recomendamos ir de shorts e chinelos. 
 Inclui: 
 Ida e volta em lancha rápida 
 Bebida detox
 Voucher de 40.000 consumível em bebidas ou comida
 Quiosque exclusivo, toalha e mat de yoga
 Massagem relaxante de 30min
 Atividade de Bem-Estar
 Valor do saldo a pagar:
 Na ilha na hora do registro realizar o pagamento de COP 224.000 referente ao saldo do passeio por pessoa no dinheiro ou cartão de crédito.</t>
  </si>
  <si>
    <t>Namaste Romantico</t>
  </si>
  <si>
    <t>Um dia em um beach club intimista para conexão com a natureza em grande estilo e bem pertinho de Cartagena. 
 Apresentar-se as 08:45 am na Praia de Castillo Grande, atrás do Hospital de Bocagrande onde a pessoa responsável pelo embarque estará esperando no banner de Namastê e dará assistência. O embarque é feito na praia direto na agua, recomendamos ir de shorts e chinelos. 
 Inclui: 
 Ida às 09 am ou 10am e volta às 09pm em lancha rápida 
 Bebida de boas vindas
 Voucher de 40.000 consumível em bebidas ou comida
 Quiosque exclusivo e toalha
 2 por 1 em coquetéis de 3pm a 5pm
 Fogueira na hora do entardecer
 Massagem de casal de 40min
 Jantar romântico na praia com 
 garrafa de vinho e fogueira
 Valor do saldo a pagar:
 Na ilha na hora do registro realizar o pagamento de COP 800.000 referente ao saldo do passeio por casal no dinheiro ou cartão de crédito.</t>
  </si>
  <si>
    <t>Palenque</t>
  </si>
  <si>
    <t>Passeio no primeiro quilombo da America Latina, conhecer as raizes afro caribenhas e as origens culturais de Cartagena e região. Só domingos. Retorno as 15:00
 Apresentar-se as 07:30 am na recepção no hotel para esperar a van do passeio.
 Inclui 
 Transporte ida e volta
 Visita etnoturistica a San Basilio de Palenque
 Almoço típico 
 Guia em espanhol
 Valor do saldo a pagar:
 No dia do passeio realizar o pagamento de COP 160.000 referente ao saldo por pessoa</t>
  </si>
  <si>
    <t>Apresentar-se na recepção no hotel para esperar a van do passeio.</t>
  </si>
  <si>
    <t>Palmarito</t>
  </si>
  <si>
    <t>Beach Club com infra estrutura de hotel. Lugar divertido para aproveitar com toda a família. 
 Apresentar-se as 09:00 am na Praia de Castillo Grande, atrás do Hospital de Bocagrande onde a pessoa responsável pelo embarque estará esperando. O embarque é feito na praia direto na agua, recomendamos ir de shorts e chinelos. 
 Inclui
 Ida e volta em lancha rápida 
 Suco de boas-vindas
 Almoço - opção: peixe, frango ou vegetariano, com arroz de coco, salada e banana frita. Acompanha suco
 Cadeiras de praia e toalhas 
 Valor do saldo a pagar:
 Na ilha na hora do registro realizar o pagamento de COP 135.000 referente ao saldo do passeio por pessoa no dinheiro ou cartão de crédito.</t>
  </si>
  <si>
    <t>Apresentar-se  am na Praia de Castillo Grande, atrás do Hospital de Bocagrande onde a pessoa responsável pelo embarque estará esperando. O embarque é feito na praia direto na agua, recomendamos ir de shorts e chinelos.</t>
  </si>
  <si>
    <t xml:space="preserve"> 09:00</t>
  </si>
  <si>
    <t>Palmarito Criança</t>
  </si>
  <si>
    <t>Beach Club com infra estrutura de hotel. Lugar divertido para aproveitar com toda a família. 
 Apresentar-se as 09:00 am na Praia de Castillo Grande, atrás do Hospital de Bocagrande onde a pessoa responsável pelo embarque estará esperando. O embarque é feito na praia direto na agua, recomendamos ir de shorts e chinelos. 
 Inclui
 Ida e volta em lancha rápida 
 Suco de boas-vindas
 Almoço - opção: peixe, frango ou vegetariano, com arroz de coco, salada e banana frita. Acompanha suco
 Cadeiras de praia e toalhas 
 Valor do saldo a pagar:
 No guichê de Isla del Encanto na hora do registro realizar o pagamento de COP 100.000 referente ao saldo do passeio por pessoa no dinheiro ou cartão de crédito.</t>
  </si>
  <si>
    <t>PAO PAO</t>
  </si>
  <si>
    <t>Beach club descolado para maiores de 12 anos, para curtir boa música com bom clima e excelentes instalações. 
 Apresentar-se as 07:20 na porta 03 da Marina la Bodeguita. Pagar a taxas portuárias COP 26.500 + Seguro COP 5.000 = COP 31.500(valor por pessoa – somente em dinheiro. Valor sujeito a alterações)
 Inclui
 Ida e volta em lancha rápida
 Bebida de boas vindas não alcoólica 
 Almoço: Paella PAO PAO, Macarrão marinara ou Prato Cartagenero: peixe, arroz de coco, salada e banana frita. 
 Cadeiras de praia (para camas/cadeiras da primeira fila há custo adicional e deve ser contratado na hora do embarque)
 Uso de piscina
 Não inclui: uso da jacuzzi e de lounges específicos
 Valor do saldo a pagar:
 Para garantir a reserva, pagamento do saldo de COP 230.000 por pessoa através do link de pagamento com cartão de crédito enviado por mensagem, não reembolsável</t>
  </si>
  <si>
    <t>Parada em Paue</t>
  </si>
  <si>
    <t>Beach Club novo, para curtir aguas cristalinas, música relax e uma das paisagens mais lindas das Ilhas do Rosario
 Inclui
 Valor da entrada por pessoa COP 200.000, sendo COP 100.000 consumíveis em comidas ou bebidas.
 Valor do saldo a pagar:
 Na chegada em Pau´e, no dia do passeio fazer o pagamento do saldo restante de COP 50.000 por PAX</t>
  </si>
  <si>
    <t>Parada em Paue Crianças</t>
  </si>
  <si>
    <t>Beach Club novo, para curtir aguas cristalinas, música relax e uma das paisagens mais lindas das Ilhas do Rosario
 Inclui
 Valor da entrada por pessoa COP 150.000, sendo COP 60.000 consumíveis em comidas ou bebidas.
 Valor do saldo a pagar:
 Na chegada em Pau´e, no dia do passeio fazer o pagamento do saldo restante de COP 30.000 por PAX</t>
  </si>
  <si>
    <t>Parada Pao Pao 1</t>
  </si>
  <si>
    <t>Beach club descolado para maiores de 18 anos, para curtir boa música com bom clima e excelentes instalações. 
 Inclui
 2 guarda-sóis brancos + 1 guarda-sol (Cada guarda-sol tem uma mesa de apoio)
 Não inclui: uso da jacuzzi e de lounges específicos
 Valor do saldo a pagar:
 Para garantir a reserva, pagamento do saldo de COP 200.000 por pessoa através do link de pagamento com cartão de crédito enviado por mensagem, não reembolsável</t>
  </si>
  <si>
    <t>Parada Pao Pao 2</t>
  </si>
  <si>
    <t>Beach club descolado para maiores de 18 anos, para curtir boa música com bom clima e excelentes instalações. 
 Inclui
 Não inclui: uso da jacuzzi e de lounges específicos
 Valor do saldo a pagar:
 Para garantir a reserva, pagamento do saldo de COP 250.000 por pessoa através do link de pagamento com cartão de crédito enviado por mensagem, não reembolsável</t>
  </si>
  <si>
    <t>Beach Club novo, para curtir aguas cristalinas, música relax e uma das paisagens mais lindas das Ilhas do Rosario
 Apresentar-se as 07:30 na porta 04 da Marina la Bodeguita. Pagar a taxas portuárias + seguro COP 32.000 (valor por pessoa – somente em dinheiro. Valor sujeito a alterações) na porta 04 para entrar na Marina. 
 Inclui
 Ida e volta em lancha rápida
 Bebida de boas vindas alcoólica ou não alcoólica
 Almoço: Massa com vegetais, Arroz cremoso de mar ou Prato Cartagenero: peixe (u frango), arroz de coco, salada e banana frita. 
 Camas de praia e espreguiçadeiras
 Valor do saldo a pagar:
 Para garantir a reserva, é necessário pagar o saldo de COP 310.000 + 5% por pessoa através do link de pagamento com cartão de crédito enviado por mensagem, ou COP 310.000 nos hotéis de Centro, Getsemani, Bocagrande e El Laguito. O pagamento é não reembolsável e deve ser feito até 2 dias antes do passeio.</t>
  </si>
  <si>
    <t xml:space="preserve">Apresentar-se na porta 04 da Marina la Bodeguita. </t>
  </si>
  <si>
    <t>Pagar a taxas portuárias COP 29.000 + Seguro COP 5.500 (valor por pessoa – somente em dinheiro. Valor sujeito a alterações)</t>
  </si>
  <si>
    <t>PAU´E Criança</t>
  </si>
  <si>
    <t>Beach Club novo, para curtir aguas cristalinas, música relax e uma das paisagens mais lindas das Ilhas do Rosario
 Apresentar-se as 07:30 na porta 04 da Marina la Bodeguita. Pagar a taxas portuárias + seguro COP 32.000 (valor por pessoa – somente em dinheiro. Valor sujeito a alterações) na porta 04 para entrar na Marina. 
 Inclui
 Ida e volta em lancha rápida
 Bebida de boas vindas alcoólica ou não alcoólica
 Almoço: Massa com vegetais, Arroz cremoso de mar ou Prato Cartagenero: peixe (u frango), arroz de coco, salada e banana frita. 
 Camas de praia e espreguiçadeiras
 Valor do saldo a pagar:
 Para garantir a reserva, é necessário pagar o saldo de COP 160.000 + 5% por pessoa através do link de pagamento com cartão de crédito enviado por mensagem, ou COP 160.000 nos hotéis de Centro, Getsemani, Bocagrande e El Laguito. O pagamento é não reembolsável e deve ser feito até 2 dias antes do passeio.</t>
  </si>
  <si>
    <t>Rosario de Mar</t>
  </si>
  <si>
    <t>Um paraíso de tranquilidade e conforto, com boa praia, sombra de árvores e infraestrutura perfeita para família, casais e amigos.
 - Ida e volta em lancha rápida. 
 - Bebidas de boas vindas.
 - Almoço com opções no cardápio e bebida não alcóolica.
 - Camas de prais, duchas, toalhas.
 Valor do saldo a pagar:
 Para garantir a reserva, pagamento do saldo de COP 250.000 por pessoa através do link de pagamento com cartão de crédito enviado por mensagem, não reembolsável
  Pagar a taxas portuárias COP 26.500 (valor por pessoa– somente em dinheiro) 
 Saída diárias, ponto de encontro as 7:40hrs no portão 4 da Marina La Bodeguita.
 Saídas as 08:15am e chegada as 04:15pm</t>
  </si>
  <si>
    <t>Pagar a taxas portuárias COP29;000(valor por pessoa – somente em dinheiro. Valor sujeito a alterações)</t>
  </si>
  <si>
    <t>Rosário de Mar Criança</t>
  </si>
  <si>
    <t>Um paraíso de tranquilidade e conforto, com boa praia, sombra de árvores e infraestrutura perfeita para família, casais e amigos. 
 - Ida e volta em lancha rápida. 
 - Bebidas de boas vindas.
 - Almoço com opções no cardápio e bebida não alcóolica.
 - Camas de prais, duchas, toalhas.
 Valor do saldo a pagar:
 Para garantir a reserva, pagamento do saldo de COP 180.000 por pessoa através do link de pagamento com cartão de crédito enviado por mensagem, não reembolsável
  Pagar a taxas portuárias COP 26.500 (valor por pessoa– somente em dinheiro) 
 Saída diárias, ponto de encontro as 7:40hrs no portão 4 da Marina La Bodeguita.
 Saídas as 08:15am e chegada as 04:15pm</t>
  </si>
  <si>
    <t>Sabai</t>
  </si>
  <si>
    <t>Passar o dia com tranquilidade em uma pequena praia em Baru. Ideal para familias e casais. 
 Horário de saída: 8h00 - Horário de retorno a Cartagena: 15h00.
 Ponto de encontro: Marina Todomar Bocagrande às 7h45.
 Inclui
 Transporte marítimo de ida e volta: viagem de 60 minutos sob sombra total em barco esportivo tipo lounge.
 * Embarque e saída da marina privada Todomar Bocagrande.
 * Taxa de embarque.
 * Água a bordo.
 * Dois pilotos profissionais + anfitriã/guia bilíngue dedicado.
 * Passeio pelo Forte Bocachica e Pântano Cholón.
 * Desembarque em nosso cais privado de 50 metros de comprimento.
 * Boas-vindas: Paleta de frutas regionais.
 * Acesso a uma espetacular piscina de 25 metros.
 * Camas na beira da praia + toalha.
 * Extensão de 200 metros de frente para a praia sem vendedores ou aglomerações.
 * Almoço à la carte com bebida. (algumas exceções)
 * Atividades: Caiaques, Vôlei, jogos de tabuleiro.
 * Água e café tudo e
 Valor do saldo a pagar: 
 Para garantir a reserva, é necessário pagar o saldo de COP 330.000 referente ao saldo do passeio por pessoa a través do link de pagamento com cartão de crédito, enviado por mensagem.O pagamento é não reembolsável.</t>
  </si>
  <si>
    <t>Apresentar-se na  Marina Todomar Bocagrande</t>
  </si>
  <si>
    <t>Sabai Criança</t>
  </si>
  <si>
    <t>Passar o dia com tranquilidade em uma pequena praia em Baru. Ideal para familias e casais. 
 Apresentar-se na marina TodoMar as 07:45Hs
 Inclui
 Transporte terrestre (60 min)
 Ida e volta em lancha rápida (15min)
 Suco de boas-vindas
 COP 80.000 para consumo
 Camas de praia, kayaks, toalhas
 Tour panoramico em lancha aos manguezais
 Valor do saldo a pagar:
 Realizar o pagamento de COP 290.000 referente ao saldo do passeio por pessoa em cartão de crédito.</t>
  </si>
  <si>
    <t>Sabai Criança terrestre</t>
  </si>
  <si>
    <t>Passar o dia com tranquilidade em uma pequena praia em Baru. Ideal para familias e casais. 
 Apresentarse na recepção do hotel a partir das7:30hrs.
 Inclui
 * Transporte porta a porta de Cartagena ida e volta (90 minutos por via terrestre em vans compartilhadas +
 15 minutos de mar em barco compartilhado para 15 pessoas). Cobertura de coleta: Laguito, Castillogrande,
 Bocagrande, Centro-Getsemani, Manga, Marbella-Crespo, zona norte até hotel Sonesta.
 * Horário de início da coleta: 7h30.
 * Durante a rota marítima: Inclui um passeio por Cholon e túnel de mangue.
 * Boas-vindas: Paleta de frutas regionais.
  Extensão de 200 metros de frente para a praia sem vendedores ou aglomerações.
 *Acesso a uma espetacular piscina de 25 metros.
 *Almoço à la carte com bebida. (algumas exceções)
 * Camas na beira da praia + toalha.
 * Atividades: Caiaques, Vôlei, jogos de tabuleiro.
 * Água e café o dia todo.
 * Wi-Fi na praia.
 Valor do saldo a pagar: 
 Para garantir a reserva, é necessário pagar o saldo de COP 290.000 referente ao saldo do passeio por pessoa a través do link de pagamento com cartão de crédito, enviado por mensagem.O pagamento é não reembolsável.</t>
  </si>
  <si>
    <t xml:space="preserve">Apresentarse na recepção do hotel </t>
  </si>
  <si>
    <t>Parada en Sabai</t>
  </si>
  <si>
    <t>Passar o dia com tranquilidade em uma pequena praia em Baru. Ideal para familias e casais. 
 Inclui
 Suco de boas-vindas
 COP 80.000 para consumo
 Camas de praia, kayaks, toalhas
 Agua e cafe 
 Tour panoramico em lancha aos manguezais
 Valor do saldo a pagar:
 Para garantir a reserva, pagamento do saldo de COP 220.000 + 5% por pessoa através do link de pagamento com cartão de crédito enviado por mensagem, não reembolsável</t>
  </si>
  <si>
    <t>Sofitel Baru Playa Blanca</t>
  </si>
  <si>
    <t>Un día para relaxar e aproveitar o melhor das Ilhas do Rosario com muito luxo no day use exclusivo do Sofitel Baru Casablanca, com mar azul, piscinas e serviço impecável
 Apresentar-se na recepção do hotel a as 07:30 Hrs. Retorno as 17:30 Hrs.
 Inclui
 Acesso aos restaurantes, uso das cadeiras de praias 
  Piscina, toalhas e duchas
 Uso cortesia de kaiak, paddle das 11h as 13h
 Opcional visita ao Oceanário (valores não incluídos)
 Kids villa a partir de 3 anos das 09am as 5pm com lanche 
 Valor do saldo a pagar:
 Para garantir a reserva, pagamento do saldo de COP 260.000 por pessoa a através do link de pagamento com cartão de crédito enviado por mensagem, não reembolsável</t>
  </si>
  <si>
    <t>08:00</t>
  </si>
  <si>
    <t>Sofitel Baru Playa Blanca Criança</t>
  </si>
  <si>
    <t>Un día para relaxar e aproveitar o melhor das Ilhas do Rosario com muito luxo no day use exclusivo do Sofitel Baru Casablanca, com mar azul, piscinas e serviço impecável
 Apresentar-se na recepção do hotel a as 07:30 Hrs. Retorno as 17:30 Hrs.
 Inclui
 Acesso aos restaurantes, uso das cadeiras de praias 
  Piscina, toalhas e duchas
 Uso cortesia de kaiak, paddle das 11h as 13h
 Opcional visita ao Oceanário (valores não incluídos)
 Kids villa a partir de 3 anos das 09am as 5pm com lanche 
 Valor do saldo a pagar:
 Para garantir a reserva, pagamento do saldo de COP 130.000 por pessoa a através do link de pagamento com cartão de crédito enviado por mensagem, não reembolsável</t>
  </si>
  <si>
    <t>Sofitel Casablanca</t>
  </si>
  <si>
    <t>Un día para relaxar e aproveitar o melhor das Ilhas do Rosario com muito luxo no day use exclusivo do Sofitel Baru Casablanca, com mar azul, piscinas e serviço impecável
 Apresentar-se na recepção do hotel a as 09:00 Hrs. Retorno as 17:00 Hrs.
 Inclui
 Acesso aos restaurantes, uso das cadeiras de praias / Piscina e toalhas 
 Uso cortesia de kaiak, paddle das 11h as 13h
 Opcional visita ao Oceanário (valores não incluídos)
 Kids villa a partir de 3 anos das 09am as 5pm com lanche 
 Valor do saldo a pagar:
 Para garantir a reserva, pagamento do saldo de COP 260.000 não reembolsável</t>
  </si>
  <si>
    <t>Apresentar-se na recepção do hotel as 09:00 Hrs. Retorno as 17:00 Hrs.</t>
  </si>
  <si>
    <t>Sofitel Casablanca criança</t>
  </si>
  <si>
    <t>Un día para relaxar e aproveitar o melhor das Ilhas do Rosario com muito luxo no day use exclusivo do Sofitel Baru Casablanca, com mar azul, piscinas e serviço impecável
 Apresentar-se na recepção do hotel a as 07:30 Hrs. Retorno as 17:30 Hrs.
 Inclui
 Acesso aos restaurantes, uso das cadeiras de praias / Piscina e toalhas 
 Uso cortesia de kaiak, paddle das 11h as 13h
 Opcional visita ao Oceanário (valores não incluídos)
 Kids villa a partir de 3 anos das 09am as 5pm com lanche 
 Valor do saldo a pagar:
 Para garantir a reserva, pagamento do saldo de COP 1.100.000 para 2 adultos e 2 crianças (02 a 11 anos)a através do link de pagamento com cartão de crédito enviado por mensagem, não reembolsável</t>
  </si>
  <si>
    <t>Apresentar-se na recepção do hotel as 07:30 Hrs. Retorno as 17:30 Hrs.</t>
  </si>
  <si>
    <t>Sofitel Casablanca Familiar</t>
  </si>
  <si>
    <t>Un día para relaxar e aproveitar o melhor das Ilhas do Rosario com muito luxo no day use exclusivo do Sofitel Baru Casablanca, com mar azul, piscinas e serviço impecável
 Apresentar-se na recepção do hotel a as 07:30 Hrs. Retorno as 17:30 Hrs.
 Inclui
 Habitação para passar o dia com ameneties e 4 bebidas de boas vindas
 Acesso aos restaurantes, uso das cadeiras de praias / Piscina e toalhas 
 Uso cortesia de kaiak, paddle das 11h as 13h
 Opcional visita ao Oceanário (valores não incluídos)
 Kids villa a partir de 3 anos das 09am as 5pm com lanche 
 Valor do saldo a pagar:
 Para garantir a reserva, pagamento do saldo de COP 1.100.000 para 2 adultos e 2 crianças (02 a 11 anos)a através do link de pagamento com cartão de crédito enviado por mensagem, não reembolsável</t>
  </si>
  <si>
    <t>Sofitel Santa Clara Aula de culinária</t>
  </si>
  <si>
    <t>Inclui
 Aproveite uma aula de culinária com um de nossos chefs e torne-se um verdadeiro especialista em gastronomia caribenha!
 Valor do saldo a pagar:
 Para garantir a reserva, pagamento do saldo de COP 3.700.000 para grupo de 6 pessoas a através do link de pagamento com cartão de crédito enviado por mensagem, não reembolsável</t>
  </si>
  <si>
    <t>Sofitel Santa Clara Cata de Ron y Chocolate</t>
  </si>
  <si>
    <t>Inclui
 A experiência inclui 3 amostras de rum premium colombiano e chocolate para harmonização, com o acompanhamento do nosso sommelier, que irá guiá-lo(a) na descoberta do processo, história e sabores por trás dessa bebida espirituosa.
 Valor do saldo a pagar:
 Para garantir a reserva, pagamento do saldo de COP 205.000</t>
  </si>
  <si>
    <t>Sofitel Transfer Van</t>
  </si>
  <si>
    <t>Apresentar-se na recepção do hotel as 07:30 Hrs para esperar o motorista. Apresentar-se na recepção do Sofitel Baru as 17:30 Hrs para esperar o motorista</t>
  </si>
  <si>
    <t>SofitelTransfer Até 03 Pessoas</t>
  </si>
  <si>
    <t xml:space="preserve">Sunset Sibarita Master Criança </t>
  </si>
  <si>
    <t>Passeio de iate pela Báia de Cartagena para curtir o por do sol com boa música e alto astral.
 Apresentar-se as 16:20 no portão #4 da Marina La Bodeguita para embarque onde o barco Sibarita Master estará ancorado e a tripulação dará assistência no embarque. Pagar a taxas portuárias COP 14.000 (valor por pessoa – somente em dinheiro. Valor sujeito a alterações)
 Inclui: Cuba Livre, ponche de rum, limonada, cervejas nacionais, vinho, água e refrigerante 
 Serviços a bordo: banheiros, Mesas e bancos cômodos e serviço de bar com de bebidas e aperitivos (com custo adicional) 
 Valor do saldo a pagar:
 Na embarcação na hora do registro realizar o pagamento de COP 50.000 referente ao saldo do passeio por pessoa no dinheiro ou cartão de crédito.</t>
  </si>
  <si>
    <t>Apresentar-se as 16:20 no portão #4 da Marina La Bodeguita para embarque onde o barco Sibarita Master estará ancorado e a tripulação dará assistência no embarque.</t>
  </si>
  <si>
    <t>Pagar a taxas portuárias COP 14.000(valor por pessoa – somente em dinheiro. Valor sujeito a alterações)</t>
  </si>
  <si>
    <t>16:20</t>
  </si>
  <si>
    <t xml:space="preserve">Sunset Sibarita Master </t>
  </si>
  <si>
    <t>Passeio de iate pela Báia de Cartagena para curtir o por do sol com boa música e alto astral.
 Apresentar-se as 16:20 no portão #4 da Marina La Bodeguita para embarque onde o barco Sibarita Master estará ancorado e a tripulação dará assistência no embarque. Pagar a taxas portuárias COP 14.000 (valor por pessoa – somente em dinheiro. Valor sujeito a alterações)
 Inclui: Cuba Livre, ponche de rum, limonada, cervejas nacionais, vinho, água e refrigerante 
 Serviços a bordo: banheiros, Mesas e bancos cômodos e serviço de bar com de bebidas e aperitivos (com custo adicional) 
 Valor do saldo a pagar:
 Na embarcação na hora do registro realizar o pagamento de COP 100.000 referente ao saldo do passeio por pessoa no dinheiro ou cartão de crédito.</t>
  </si>
  <si>
    <t>TOP 3 Ilhas</t>
  </si>
  <si>
    <t>Um passeio exclusivo para 28 pessoas que oferece um passeio pelas Ilhas do Rosário com parada em Pao Pao, Islabela e Bora Bora Beach Club.
 Apresentar-se as 08:00 na porta 03 da Marina la Bodeguita. Pagar a taxas portuárias COP 26.500 + Seguro COP 5.000 = COP 31.500(valor por pessoa – somente em dinheiro. Valor sujeito a alterações)
 O passeio inclui:
 * Transporte em lancha * Guia bilíngue * Passeio panorâmico pelas Ilhas Rosário * 1 coquetel de boas-vindas em cada ilha * Hidratação no barco (Água, Refrigerante) * 3 opções de almoço + bebida (Islabela) * Espaço exclusivo para o passeio em cada ilha
 Apenas para adultos +18
 Não inclui:
 •Imposto de doca + seguro •Toalhas •Serviços ou consumos adicionais •Espaços preferenciais •Acesso à área VIP de Bora Bora
 O horário de saída é às 8h45.
  Reserva garantida até às 8h30
 Horário aproximado de chegada ao cais La Bodeguita 16h30
 Valor do saldo a pagar:
 Para garantir a reserva, pagamento do saldo de COP 280.000 por pessoa através do link de pagamento com cartão de crédito enviado por mensagem, não reembolsável</t>
  </si>
  <si>
    <t xml:space="preserve">Apresentar-se na porta 03 da Marina la Bodeguita. </t>
  </si>
  <si>
    <t>Tour Café Colombiano</t>
  </si>
  <si>
    <t>O café colombiano é conhecido por ser um dos melhores cafés do mundo! Venha conhecer tudo sobre o Café Colombiano e seus métodos de extração. 
 Apresentar-se as 16:30hs na Iglesia San Pedro Claver para encontrar com o guia. 
 Inclui
 Guia turístico profissional em português
 Visita a 3 cafeterias
 Degustação de 3 cafés</t>
  </si>
  <si>
    <t>Apresentar-se as 16:30 na Iglesia San Pedro Claver para encontrar com o guia.</t>
  </si>
  <si>
    <t>Tour Café Colombiano Hotel</t>
  </si>
  <si>
    <t>O café colombiano é conhecido por ser um dos melhores cafés do mundo! Venha conhecer tudo sobre o Café Colombiano e seus métodos de extração. 
 Apresentar-se as 16:30hs na recepçâo do hotel para encontrar com o guia. 
 Inclui
 Guia turístico profissional em português
 Visita a 3 cafeterias
 Degustação de 3 cafés
 Valor a pagar no passeio
  No dia do passeio realizar o pagamento de COP 87.000 referente ao saldo do passeio por pessoa somente em dinheiro</t>
  </si>
  <si>
    <t>Apresentar-se as 16:30 na recepçâo do hotel para encontrar com o guia.</t>
  </si>
  <si>
    <t>Tour en lancha privativa las Islas del Rosario</t>
  </si>
  <si>
    <t>Excelente opção para curtir uma aventura em alto mar,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bebidas ou comidas, mas podem ser levadas. 
 Valor do saldo a pagar:
 No dia do tour fazer o pagamento do saldo restante de COP 1.125.000 para a pessoa encarregada de recebê-los, seu nombre é Arturo e estará la para dar toda asisstência na hora do embarque.</t>
  </si>
  <si>
    <t>Apresentar-se as 08:50 na Marina Los Pegasos onde la tripulação da lancha Seawater estará esperando para dar assistência na hora del embarque.</t>
  </si>
  <si>
    <t xml:space="preserve"> 20000</t>
  </si>
  <si>
    <t>Tour Moto, Bici Moto, Moto Chopper</t>
  </si>
  <si>
    <t>Conhecer a cidade em duas rodas e passear sem passar calor para curtir o melhor de Cartagena em grande estilo.
 Apresentar-se na hora reservada na Cidade Amuralhada, Calle 2a de Badillo 36 – 54 - 58 P 1 emabixo do hostal Badillo 
 Inclui
 Passeio de 60min
 Capacete 
  Guia em espanhol ou inglês
 Fotografias
 Treinamento – tempo não descontado do tour
 Hidratação
 Valor do saldo a pagar:
 Na hora de realizar o registro em Ecoway realizar o pagamento de COP 100.000 referente ao saldo do passeio por pessoa no dinheiro ou cartão de crédito.</t>
  </si>
  <si>
    <t>Apresentar-se na hora reservada na Cidade Amuralhada, Calle 2a de Badillo 36 – 54 - 58 P 1 emabixo do hostal Badillo</t>
  </si>
  <si>
    <t>Tour No Mercadão + Aula De Culinária</t>
  </si>
  <si>
    <t>Visita ao mercado municipal Bazurto para explorar e experimentar comidas exóticas. Depois do tour, levar as compras ao restaurante para começar a Experiência de Cozinha Cartagenera.
 Apresentar-se as 08:00 am no Lunático Cooking Studio na Calle del Pedregal n 29, no Bairro de Getsemani. 
 Inclui: 
 Ingredientes e cozinha equipada com chef local 
 Degustação do menu final
 Valor do saldo a pagar:No dia da aula realizar o pagamento de COP 375.000 por pessoa referente ao saldo da atividade no dinheiro.</t>
  </si>
  <si>
    <t>Apresentar-se as 08:00 am no Lunático Cooking Studio na Calle del Pedregal n 29, no Bairro de Getsemani.</t>
  </si>
  <si>
    <t>Tour No Mercadão + Aula De Culinária Criança</t>
  </si>
  <si>
    <t>Visita ao mercado municipal Bazurto para explorar e experimentar comidas exóticas. Depois do tour, levar as compras ao restaurante para começar a Experiência de Cozinha Cartagenera.
 Apresentar-se as 08:00 am no Lunático Cooking Studio na Calle del Pedregal n 29, no Bairro de Getsemani. 
 Inclui: 
 Ingredientes e cozinha equipada com chef local 
 Degustação do menu final com bebida
 Valor do saldo a pagar:No dia da aula realizar o pagamento de COP 187.500 por pessoa referente ao saldo da atividade no dinheiro.</t>
  </si>
  <si>
    <t>Transfer Aeroporto/Hotel Até 03 Pessoas</t>
  </si>
  <si>
    <t>O motorista esperará no portão de desembarque as XXX com a plaquinha com nome do passageiro para levar ao hotel.</t>
  </si>
  <si>
    <t>O motorista esperará no portão de desembarque com a plaquinha com nome do passageiro para levar ao hotel.</t>
  </si>
  <si>
    <t>Transfer Aeroporto/Hotel Van Até 08 Pessoas</t>
  </si>
  <si>
    <t>Transfer Aeroporto/Hotel Van Até 14 Pessoas</t>
  </si>
  <si>
    <t>Transfer Aeroporto/Hotel Van Até 17 Pessoas</t>
  </si>
  <si>
    <t>Transfer City Tour 4 horas + guia até 3 Pessoas</t>
  </si>
  <si>
    <t>Apresentar-se na recepção as para esperar o motorista.</t>
  </si>
  <si>
    <t>Apresentar-se na recepção para esperar o motorista.</t>
  </si>
  <si>
    <t>Transfer City Tour 4 horas até 14 Pessoas</t>
  </si>
  <si>
    <t>Apresentar-se na recepção  para esperar o motorista.</t>
  </si>
  <si>
    <t>Transfer City Tour 4 horas até 8 Pessoas</t>
  </si>
  <si>
    <t>Transfer Hotel/Aeroporto Até 03 Pessoas</t>
  </si>
  <si>
    <t>Transfer Hotel/Aeroporto Van Até 08 Pessoas</t>
  </si>
  <si>
    <t>Transfer Hotel/Aeroporto Van Até 14 Pessoas</t>
  </si>
  <si>
    <t>Transfer Hotel/Aeroporto Van Até 17 Pessoas</t>
  </si>
  <si>
    <t>Transfer Hotel/Aviario Até 03 Pessoas</t>
  </si>
  <si>
    <t>Visita ao Aviário de Cartagena para conhecer espécies de aves de exóticas e coloridas que voam pelos arredores do Aviario Nacional da Colômbia
 Apresentar-se as 08 am na recepção no hotel para esperar a van do passeio. A van passa entre 08 e 08:15hs. 
 Inclui: 
 Transporte Terrestre ida e volta em Van ou Ônibus 
 Espera de duas horas para visitação
 Não inclui entradas – podem ser adquiridas direto na bilheteria do aviário no local do passeio.
 Valor do saldo a pagar:
 No dia do passeio realizar o pagamento de COP 64.000 referente ao saldo por pessoa</t>
  </si>
  <si>
    <t>Apresentar-se as 08 am na recepção no hotel para esperar a van do passeio. A van passa entre 08 e 08:15hs.</t>
  </si>
  <si>
    <t>Transfer Hotel/Aviario Bus Até 40 Pessoas</t>
  </si>
  <si>
    <t>Transfer Hotel/Aviario Van Até 08 Pessoas</t>
  </si>
  <si>
    <t>Transfer Hotel/Aviario Van Até 14 Pessoas</t>
  </si>
  <si>
    <t>Transfer Hotel/Aviarios Microbus Até 18 Pessoas</t>
  </si>
  <si>
    <t>Transfer Hotel/Marina - Marina/Hotel 8 Pessoas</t>
  </si>
  <si>
    <t>Apresentar-se na recepção do hotel as 07:00 para esperar o motorista para levar a Marina La Bodeguita. A van esperará na saída da porta 4 da Marina as 16:30 para levar de volta ao hotel.</t>
  </si>
  <si>
    <t>Apresentar-se na recepção do hotel  para esperar o motorista para levar a Marina La Bodeguita. A van esperará na saída da porta 4 da Marina as 16:30 para levar de volta ao hotel.</t>
  </si>
  <si>
    <t>Transfer Hotel/Marina 8 Pessoas</t>
  </si>
  <si>
    <t>Transfer Hotel/Marina/Hotel 14 Pessoas</t>
  </si>
  <si>
    <t>Transfer Hotel/Sofitel - Sofitel/Hotel 8 Pessoas</t>
  </si>
  <si>
    <t>Walking Tour 14:00 8 PAX</t>
  </si>
  <si>
    <t>Uma caminhada pela Cidade Amuralha e bairro de Getsemani para conhecer a história e visitar os principais pontos da cidade Patrimônio da Unesco e as ruas coloridas de Getsemani com as melhores fotos. 
 Apresentar-se as 09:00 naIglesia San Pedro Claver para encontrar com o guia. 
 Inclui
 Guia turístico profissional em português
 Caminhada na cidade amuralhada e Getsemani 
 01 garrafa de água por pessoa.</t>
  </si>
  <si>
    <t>Apresentar-se  na recepção do hotel</t>
  </si>
  <si>
    <t>14:00</t>
  </si>
  <si>
    <t>Walking Tour + Castillo San Felipe 09:00 +5 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</si>
  <si>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09:00hsna recepção do hotel para encontrar com o guia. 
 Inclui
 Transporte ida e volta até o Castillo de San Felipe
 Guia turístico profissional em português
 Caminhada na cidade amuralhada e Getsemani 
 Entrada e guia no Castelo San Felipe</t>
  </si>
  <si>
    <t>09:00</t>
  </si>
  <si>
    <t>Walking Tour + Castillo San Felipe 09:00 3PAX/4PAX</t>
  </si>
  <si>
    <t>Walking Tour + Castillo San Felipe 09:00 2PAX</t>
  </si>
  <si>
    <t>Walking Tour + Castillo San Felipe 14:00 3PAX/4PAX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</si>
  <si>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Iglesia San Pedro Claver para encontrar com o guia. 
 Inclui
 Transporte ida e volta até o Castillo de San Felipe
 Guia turístico profissional em português
 Caminhada na cidade amuralhada e Getsemani 
 Entrada e guia no Castelo San Felipe</t>
  </si>
  <si>
    <t>Walking Tour + Castillo San Felipe 14:00 + 5PAX até 10 pax</t>
  </si>
  <si>
    <t>Walking Tour + Castillo San Felipe 14:00 1PAX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</si>
  <si>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Iglesia San Pedro Claver para encontrar com o guia. 
 Inclui
 Transporte ida e volta até o Castillo de San Felipe
 Guia turístico profissional em português
 Caminhada na cidade amuralhada e Getsemani 
 Entrada e guia no Castelo San Felipe</t>
  </si>
  <si>
    <t>Walking Tour + Castillo San Felipe 14:00 2PAX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</si>
  <si>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Iglesia San Pedro Claver para encontrar com o guia. 
 Inclui
 Transporte ida e volta até o Castillo de San Felipe
 Guia turístico profissional em português
 Caminhada na cidade amuralhada e Getsemani 
 Entrada e guia no Castelo San Felipe
 Valor a pagar no passeio:
  No dia do passeio realizar o pagamento de COP 130.000 referente ao saldo do passeio por pessoa somente em dinheiro em espécie</t>
  </si>
  <si>
    <t>Walking Tour + Castillo San Felipe City tour 4 horas</t>
  </si>
  <si>
    <t>Uma caminhada pela cidade amuralha e bairro de Getsemani para conhecer a história e visitar os principais pontos da cidade Patrimônio da Unesco e as ruas coloridas de Getsemani com as melhores fotos. 
 Apresentar-se na recepção as para esperar o motorista.
 Depois ida em van até o Castillo San Felipe para visita com o guia em português. Após a visita van de retorno até a cidade amuralhada.
 Apresentar-se as na recepção do hotel 
 Inclui
 Transporte ida e volta até o Castillo de San Felipe
 Guia turístico profissional em português
 Caminhada na cidade amuralhada e Getsemani 
 Entrada e guia no Castelo San Felipe
 Valor do saldo a pagar:
 Para garantir a reserva, pagamento de COP .000 por pessoa através do link de pagamento com cartão de crédito enviado por mensagem, não reembolsável</t>
  </si>
  <si>
    <t>Walking Tour + Castillo San Felipe VIP 09:00 +5PAX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</si>
  <si>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 na recepção do hotel 
 Inclui
 Transporte ida e volta até o Castillo de San Felipe
 Guia turístico profissional em português
 Caminhada na cidade amuralhada e Getsemani 
 Entrada e guia no Castelo San Felipe</t>
  </si>
  <si>
    <t>Walking Tour + Castillo San Felipe VIP 09:00 1PAX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</si>
  <si>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 na recepção do hotel 
 Inclui
 Transporte ida e volta até o Castillo de San Felipe
 Guia turístico profissional em português
 Caminhada na cidade amuralhada e Getsemani 
 Entrada e guia no Castelo San Felipe
 Valor do saldo a pagar:
 Para garantir a reserva, pagamento de COP 423.000 por pessoa através do link de pagamento com cartão de crédito enviado por mensagem, não reembolsável</t>
  </si>
  <si>
    <t>Walking Tour + Castillo San Felipe VIP 09:00 2PAX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</si>
  <si>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 na recepção do hotel 
 Inclui
 Transporte ida e volta até o Castillo de San Felipe
 Guia turístico profissional em português
 Caminhada na cidade amuralhada e Getsemani 
 Entrada e guia no Castelo San Felipe
 Valor do saldo a pagar:
 Para garantir a reserva, pagamento de COP 233.000 por pessoa através do link de pagamento com cartão de crédito enviado por mensagem, não reembolsável</t>
  </si>
  <si>
    <t>Walking Tour + Castillo San Felipe VIP 09:00 3PAX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</si>
  <si>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 na recepção do hotel 
 Inclui
 Transporte ida e volta até o Castillo de San Felipe
 Guia turístico profissional em português
 Caminhada na cidade amuralhada e Getsemani 
 Entrada e guia no Castelo San Felipe
 Valor do saldo a pagar:
 Para garantir a reserva, pagamento de COP 203.000 por pessoa através do link de pagamento com cartão de crédito enviado por mensagem, não reembolsável</t>
  </si>
  <si>
    <t>Walking Tour + Castillo San Felipe VIP 09:00 4PAX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</si>
  <si>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09:00hs na recepção do hotel 
 Inclui
 Transporte ida e volta até o Castillo de San Felipe
 Guia turístico profissional em português
 Caminhada na cidade amuralhada e Getsemani 
 Entrada e guia no Castelo San Felipe
 Valor do saldo a pagar:
 Para garantir a reserva, pagamento de COP 163.000 por pessoa através do link de pagamento com cartão de crédito enviado por mensagem, não reembolsável</t>
  </si>
  <si>
    <t>Walking Tour + Castillo San Felipe VIP 14:00 +5PAX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</si>
  <si>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recepção do hotel 
 Inclui
 Transporte ida e volta até o Castillo de San Felipe
 Guia turístico profissional em português
 Caminhada na cidade amuralhada e Getsemani 
 Entrada e guia no Castelo San Felipe</t>
  </si>
  <si>
    <t>Walking Tour + Castillo San Felipe VIP 14:00 1PAX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</si>
  <si>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recepção do hotel 
 Inclui
 Transporte ida e volta até o Castillo de San Felipe
 Guia turístico profissional em português
 Caminhada na cidade amuralhada e Getsemani 
 Entrada e guia no Castelo San Felipe
 Valor do saldo a pagar:
 Para garantir a reserva, pagamento de COP 423.000 por pessoa através do link de pagamento com cartão de crédito enviado por mensagem, não reembolsável</t>
  </si>
  <si>
    <t>Walking Tour + Castillo San Felipe VIP 14:00 2PAX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</si>
  <si>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recepção do hotel 
 Inclui
 Transporte ida e volta até o Castillo de San Felipe
 Guia turístico profissional em português
 Caminhada na cidade amuralhada e Getsemani 
 Entrada e guia no Castelo San Felipe
 Valor do saldo a pagar:
 Para garantir a reserva, pagamento de COP 233.000 por pessoa através do link de pagamento com cartão de crédito enviado por mensagem, não reembolsável</t>
  </si>
  <si>
    <t>Walking Tour + Castillo San Felipe VIP 14:00 3PAX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</si>
  <si>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recepção do hotel 
 Inclui
 Transporte ida e volta até o Castillo de San Felipe
 Guia turístico profissional em português
 Caminhada na cidade amuralhada e Getsemani 
 Entrada e guia no Castelo San Felipe
 Valor do saldo a pagar:
 Para garantir a reserva, pagamento de COP 203.000 por pessoa através do link de pagamento com cartão de crédito enviado por mensagem, não reembolsável</t>
  </si>
  <si>
    <t>Walking Tour + Castillo San Felipe VIP 14:00 4PAX</t>
  </si>
  <si>
    <t>Uma caminhada pela cidade amuralha e bairro de Getsemani para conhecer a história e visitar os principais pontos da cidade Patrimônio da Unesco e as ruas coloridas de Getsemani com as melhores fotos. 
 Depois ida em taxi até o Castillo San Felipe para visita com o guia em português. Após a visita taxi de retorno até a cidade amuralhada.
 Apresentar-se as 14:00hs na recepção do hotel 
 Inclui
 Transporte ida e volta até o Castillo de San Felipe
 Guia turístico profissional em português
 Caminhada na cidade amuralhada e Getsemani 
 Entrada e guia no Castelo San Felipe
 Valor do saldo a pagar:
 Para garantir a reserva, pagamento de COP 163.000 por pessoa através do link de pagamento com cartão de crédito enviado por mensagem, não reembolsável</t>
  </si>
  <si>
    <t>Welcome Tour 09:00 2 PAX</t>
  </si>
  <si>
    <t>Uma caminhada pela Cidade Amuralha e bairro de Getsemani para conhecer a história e visitar os principais pontos da cidade Patrimônio da Unesco e as ruas coloridas de Getsemani com as melhores fotos. 
 Apresentar-se as 09:00 na Iglesia San Pedro Claver para encontrar com o guia. 
 Inclui
 Guia turístico profissional em português
 Caminhada na cidade amuralhada e Getsemani 
 01 garrafa de água por pessoa. 
 Valor a pagar no passeio:
  No dia do passeio realizar o pagamento de COP 75.000 referente ao saldo do passeio por pessoa somente em dinheiro em espécie</t>
  </si>
  <si>
    <t>Welcome Tour 09:00 3 PAX</t>
  </si>
  <si>
    <t>Uma caminhada pela Cidade Amuralha e bairro de Getsemani para conhecer a história e visitar os principais pontos da cidade Patrimônio da Unesco e as ruas coloridas de Getsemani com as melhores fotos. 
 Apresentar-se as na recepção do hotel as 09:00Horas 
 Inclui
 Guia turístico profissional em português
 Caminhada na cidade amuralhada e Getsemani 
 01 garrafa de água por pessoa.</t>
  </si>
  <si>
    <t>Welcome Tour 09:00 1 PAX</t>
  </si>
  <si>
    <t>Uma caminhada pela Cidade Amuralha e bairro de Getsemani para conhecer a história e visitar os principais pontos da cidade Patrimônio da Unesco e as ruas coloridas de Getsemani com as melhores fotos. 
 Apresentar-se as 09:00 naIglesia San Pedro Claver para encontrar com o guia. 
 Inclui
 Guia turístico profissional em português
 Caminhada na cidade amuralhada e Getsemani 
 01 garrafa de água por pessoa. 
 Valor a pagar no passeio:
  No dia do passeio realizar o pagamento de COP 150.000 referente ao saldo do passeio por pessoa somente em dinheiro em espécie</t>
  </si>
  <si>
    <t>Welcome Tour 09:00 VIP 2 PAX</t>
  </si>
  <si>
    <t>Uma caminhada pela Cidade Amuralha e bairro de Getsemani para conhecer a história e visitar os principais pontos da cidade Patrimônio da Unesco e as ruas coloridas de Getsemani com as melhores fotos. 
  Apresentar-se as na recepção do hotel as 09:00Horas 
 Inclui
 Guia turístico profissional em português
 Caminhada na cidade amuralhada e Getsemani 
 01 garrafa de água por pessoa.</t>
  </si>
  <si>
    <t>Welcome Tour 09:00 VIP 3 PAX</t>
  </si>
  <si>
    <t>Welcome Tour 09:00 VIP 1 PAX</t>
  </si>
  <si>
    <t>Uma caminhada pela Cidade Amuralha e bairro de Getsemani para conhecer a história e visitar os principais pontos da cidade Patrimônio da Unesco e as ruas coloridas de Getsemani com as melhores fotos. 
 Apresentar-se as na recepção do hotel as 09:00Horas 
 Inclui
 Guia turístico profissional em português
 Caminhada na cidade amuralhada e Getsemani 
 01 garrafa de água por pessoa.</t>
  </si>
  <si>
    <t>Welcome Tour 14:00 2 PAX</t>
  </si>
  <si>
    <t>Uma caminhada pela Cidade Amuralha e bairro de Getsemani para conhecer a história e visitar os principais pontos da cidade Patrimônio da Unesco e as ruas coloridas de Getsemani com as melhores fotos. 
 Apresentar-se as 14:00 na Iglesia San Pedro Claver para encontrar com o guia. 
 Inclui
 Guia turístico profissional em português
 Caminhada na cidade amuralhada e Getsemani 
 01 garrafa de água por pessoa. 
 Valor a pagar no passeio:
  No dia do passeio realizar o pagamento de COP 75.000 referente ao saldo do passeio por pessoa somente em dinheiro em espécie</t>
  </si>
  <si>
    <t>Apresentar-se as 14:00 na Iglesia San Pedro Claver para encontrar com o guia.</t>
  </si>
  <si>
    <t>Welcome Tour 14:00 3 PAX</t>
  </si>
  <si>
    <t>Uma caminhada pela Cidade Amuralha e bairro de Getsemani para conhecer a história e visitar os principais pontos da cidade Patrimônio da Unesco e as ruas coloridas de Getsemani com as melhores fotos. 
 Apresentar-se as 14:00 na Iglesia San Pedro Claver para encontrar com o guia. 
 Inclui
 Guia turístico profissional em português
 Caminhada na cidade amuralhada e Getsemani 
 01 garrafa de água por pessoa. 
 Valor a pagar no passeio:
  No dia do passeio realizar o pagamento de COP 40.000 referente ao saldo do passeio por pessoa somente em dinheiro em espécie</t>
  </si>
  <si>
    <t>Welcome Tour 14:00 1 PAX</t>
  </si>
  <si>
    <t>Uma caminhada pela Cidade Amuralha e bairro de Getsemani para conhecer a história e visitar os principais pontos da cidade Patrimônio da Unesco e as ruas coloridas de Getsemani com as melhores fotos. 
 Apresentar-se as 14:00 na Iglesia San Pedro Claver para encontrar com o guia. 
 Inclui
 Guia turístico profissional em português
 Caminhada na cidade amuralhada e Getsemani 
 01 garrafa de água por pessoa. 
 Valor a pagar no passeio:
  No dia do passeio realizar o pagamento de COP 150.000 referente ao saldo do passeio por pessoa somente em dinheiro em espécie</t>
  </si>
  <si>
    <t>Welcome Tour 14:00 VIP 2 PAX</t>
  </si>
  <si>
    <t>Uma caminhada pela Cidade Amuralha e bairro de Getsemani para conhecer a história e visitar os principais pontos da cidade Patrimônio da Unesco e as ruas coloridas de Getsemani com as melhores fotos. 
 Apresentar-se as 14:00 na recepção do hotel.
 Inclui
 Guia turístico profissional em português
 Caminhada na cidade amuralhada e Getsemani 
 01 garrafa de água por pessoa.</t>
  </si>
  <si>
    <t>Apresentar-se as 14:00 na recepção do hotel.</t>
  </si>
  <si>
    <t>Welcome Tour 14:00 VIP 3 PAX</t>
  </si>
  <si>
    <t>Uma caminhada pela Cidade Amuralha e bairro de Getsemani para conhecer a história e visitar os principais pontos da cidade Patrimônio da Unesco e as ruas coloridas de Getsemani com as melhores fotos. 
 Apresentar-se as 14:00 na recepção do hotel.
 Inclui
 Guia turístico profissional em português
 Caminhada na cidade amuralhada e Getsemani 
 01 garrafa de água por pessoa.</t>
  </si>
  <si>
    <t>Welcome Tour 14:00 VIP 1 PAX</t>
  </si>
  <si>
    <t>LANCHAS PRIVADAS</t>
  </si>
  <si>
    <t>Tour Por do sol em lancha privativa Silver</t>
  </si>
  <si>
    <t>Passeio de iate pela Báia de Cartagena para curtir o por do sol com boa música e alto astral.
 Apresentar-se na hora convenida no portão #4 da Marina La Bodeguita para embarque onde o barco Sibarita Master estará ancorado e a tripulação dará assistência no embarque. Pagar a taxas portuárias COP 12.000 (valor por pessoa – somente em dinheiro. Valor sujeito a alterações)
 Inclui: Cuba Livre, ponche de rum, limonada, 6 cervejas nacionais, vinho, água e refrigerante 
 Serviços a bordo: banheiros, Mesas e bancos cômodos e serviço de bar com de bebidas e aperitivos (com custo adicional) 
 Valor do saldo a pagar:
 Na embarcação na hora do registro realizar o pagamento de COP 85.000 referente ao saldo do passeio por pessoa no dinheiro ou cartão de crédito.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bebidas ou comidas, mas podem ser levadas. 
 Valor do saldo a pagar:
 No dia do tour fazer o pagamento do saldo restante de COP 1.125.000 para a pessoa encarregada de recebê-los, seu nombre é Arturo e estará la para dar toda asisstência na hora do embarque.</t>
  </si>
  <si>
    <t>Apresentar-se na Marina Los Pegasos onde la tripulação da lancha  estará esperando para dar assistência na hora del embarque.</t>
  </si>
  <si>
    <t xml:space="preserve"> 12000</t>
  </si>
  <si>
    <t>Tour Por do sol em lancha privativa Gold</t>
  </si>
  <si>
    <t>Passeio de iate pela Báia de Cartagena para curtir o por do sol com boa música e alto astral.
 Apresentar-se na hora convenida no portão #4 da Marina La Bodeguita para embarque onde o barco Sibarita Master estará ancorado e a tripulação dará assistência no embarque. Pagar a taxas portuárias COP 12.000 (valor por pessoa – somente em dinheiro. Valor sujeito a alterações)
 Inclui: Trnsporte terrestre, Asistente Bilingue + botelha de Champagne+ Catering por passageiro (1 mix de frutas, Sandwich presusnto e queijo, 2 refrigerantes, 3 cerveijas club Colombia, 1 patacon por pessoa). 
 Serviços a bordo: banheiros, Mesas e bancos cômodos e serviço de bar com de bebidas e aperitivos (com custo adicional) 
 Valor do saldo a pagar:
 Na embarcação na hora do registro realizar o pagamento de COP 85.000 referente ao saldo do passeio por pessoa no dinheiro ou cartão de crédito.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mas podem ser levadas. 
 Valor do saldo a pagar:
 No dia do tour fazer o pagamento do saldo restante de COP 1.125.000 para a pessoa encarregada de recebê-los, seu nombre é Arturo e estará la para dar toda asisstência na hora do embarque.</t>
  </si>
  <si>
    <t>Tour en lancha privativa JOE</t>
  </si>
  <si>
    <t>#########</t>
  </si>
  <si>
    <t>Excelente opção para curtir uma aventura em alto mar,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bebidas ou comidas, mas podem ser levadas. 
 Valor do saldo a pagar:
 No dia do tour fazer o pagamento do saldo restante de COP 1.350.000 para a pessoa encarregada de recebê-los, seu nombre é Arturo e estará la para dar toda asisstência na hora do embarque.</t>
  </si>
  <si>
    <t>Tour en lancha privativa Bravo 290</t>
  </si>
  <si>
    <t>Excelente opção para curtir uma aventura em alto mar, navegando no mar azul e visitando as praias lindas do Caribe Colombiano 
 Na Marina Todomar onde la tripulação estará esperando para dar assistência na hora del embarque. 
 Inclui: 
 * Transporte ida e volta até a Marina Todomar 
 Barco com sistema de som Bluetooth
 *Combustível
  * Capitão
 * Copiloto
 * Anfitrião a bordo
 * 15 kg de gelo
 * 24 garrafas de água
  *Geladeira
 *Copos
 *Barco substituto em caso de qualquer sinistro, seguro contra acidentes.
 Valor do saldo a pagar:
 Para garantir a reserva, pagamento do saldo de COP 2.640.000 por pessoa através do link de pagamento com cartão de crédito enviado por mensagem, não reembolsável</t>
  </si>
  <si>
    <t>Apresentar-se na recepção do hotel para o condutor leva até a Marina Todomar onde la tripulação da lancha estará esperando para dar assistência na hora del embarque.</t>
  </si>
  <si>
    <t>Tour en lancha privativa Bravo 380</t>
  </si>
  <si>
    <t>Excelente opção para curtir uma aventura em alto mar, navegando no mar azul e visitando as praias lindas do Caribe Colombiano 
 Na Marina Todomar onde la tripulação estará esperando para dar assistência na hora del embarque. 
 Inclui: 
 * Transporte ida e volta até a Marina Todomar 
 Barco com sistema de som Bluetooth
 *Combustível
  * Capitão
 * Copiloto
 * Anfitrião a bordo
 * 15 kg de gelo
 * 24 garrafas de água
  *Geladeira
 *Copos
 *Barco substituto em caso de qualquer sinistro, seguro contra acidentes.
 * Host Bilingue
 Valor do saldo a pagar:
 Para garantir a reserva, pagamento do saldo de COP 2.640.000 por pessoa através do link de pagamento com cartão de crédito enviado por mensagem, não reembolsável</t>
  </si>
  <si>
    <t>Tour en lancha privativa Firpol 33-LM</t>
  </si>
  <si>
    <t>Excelente opção para curtir uma aventura em alto mar, navegando no mar azul e visitando as praias lindas do Caribe Colombiano 
 Apresentar-se as 08:40 na recepção do hotel para o condutor leva até a Marina Todomar onde la tripulação da lancha Firpol 33- LM estará esperando para dar assistência na hora del embarque as 9:00hrs
 Inclui: 
 * Transporte ida e volta até a Marina Todomar Ground transportation 5-8 pax.
 * Barco com sistema de som Bluetooth
 * Combustível
  * Capitão
 * Copiloto
 * Anfitrião a bordo
 * 15 kg de gelo
 * 24 garrafas de água
  *Geladeira
 * Copos
 * Barco substituto em caso de qualquer sinistro, seguro contra acidentes.
 * Host Bilingue
 Valor do saldo a pagar:
 Para garantir a reserva, pagamento do saldo de COP 3.104.000 por pessoa através do link de pagamento com cartão de crédito enviado por mensagem, não reembolsável</t>
  </si>
  <si>
    <t>Tour en lancha privativa Firpol 33-LM / Parada em PAUE</t>
  </si>
  <si>
    <t>Excelente opção para curtir uma aventura em alto mar, navegando no mar azul e visitando as praias lindas do Caribe Colombiano 
 Apresentar-se as 08:40 na recepção do hotel para o condutor leva até a Marina Todomar onde la tripulação da lancha Firpol 33- LM estará esperando para dar assistência na hora del embarque as 9:00hrs
 Inclui: 
 * Transporte ida e volta até a Marina Todomar Ground transportation 5-8 pax.
 * Barco com sistema de som Bluetooth
 * Combustível
  * Capitão
 * Copiloto
 * Anfitrião a bordo
 * 15 kg de gelo
 * 24 garrafas de água
  *Geladeira
 * Copos
 * Barco substituto em caso de qualquer sinistro, seguro contra acidentes.
 * Host Bilingue
 * Inclui COP 100.000 de consumo em Paue</t>
  </si>
  <si>
    <t>Tour en lancha privativa Firpol / Parada em Sabai</t>
  </si>
  <si>
    <t>Excelente opção para curtir uma aventura em alto mar, navegando no mar azul e visitando as praias lindas do Caribe Colombiano 
 Apresentar-se as 08:40 na recepção do hotel para o condutor leva até a Marina Todomar onde la tripulação da lancha estará esperando para dar assistência na hora del embarque as 9:00hrs
 Inclui: 
 * Transporte ida e volta até a Marina Todomar Ground transportation 20 PAX
 * Barco com sistema de som Bluetooth
 * Combustível
  * Capitão
 * Copiloto
 * Anfitrião a bordo
 * 15 kg de gelo
 * 24 garrafas de água
  *Geladeira
 * Copos
 * Barco substituto em caso de qualquer sinistro, seguro contra acidentes.
 * Host Bilingue
 Inclui Sabai:
 Sorvete e frutas de boas vindas
 Extensão de 200mts de praia 
 Acesso a piscina
 Camas de praias e toalhas
 Atividades: Kaiak, Volleyball, jogos de tabuleio
 Água e café
 wi-fi na praia
 COP 80.000 de consumação no bar ou restaurante.</t>
  </si>
  <si>
    <t>12000</t>
  </si>
  <si>
    <t>Tour en lancha privativa Firpol 33-LM / Parada em Bora Bora</t>
  </si>
  <si>
    <t>Excelente opção para curtir uma aventura em alto mar, navegando no mar azul e visitando as praias lindas do Caribe Colombiano 
 Apresentar-se as 08:40 na recepção do hotel para o condutor leva até a Marina Todomar onde la tripulação da lancha Firpol 33- LM estará esperando para dar assistência na hora del embarque as 9:00hrs
 Inclui: 
 * Transporte ida e volta até a Marina Todomar Ground transportation 5-8 pax.
 * Barco com sistema de som Bluetooth
 * Combustível
  * Capitão
 * Copiloto
 * Anfitrião a bordo
 * 15 kg de gelo
 * 24 garrafas de água
  *Geladeira
 * Copos
 * Barco substituto em caso de qualquer sinistro, seguro contra acidentes.
 * Host Bilingue</t>
  </si>
  <si>
    <t>MEDELLIN</t>
  </si>
  <si>
    <t>Comuna 13 - Grafiti Tour</t>
  </si>
  <si>
    <t>Visitar uma das comunidades mais emblemáticas de Medellin, para aprender sobre sua recuperação depois dos anos de violência
 Apresentar-se as 09:00hs na recepçâo do hotel para encontrar com o guia (Só hoteis em El Poblado). 
 Inclui: 
 - Recolhida no Hotel (Só hoteis em El Poblado)
 - Fotos
 - Guias locais em espanhol e inglês 
 Saídas diárias 
 Duração: 03 horas
 Horários: 09hs ou 14hs 
 Valor a pagar no passeio
  No dia do passeio realizar o pagamento de COP 50.000 referente ao saldo do passeio por pessoa somente em dinheiro</t>
  </si>
  <si>
    <t>Por Definir</t>
  </si>
  <si>
    <t>Comuna 13 - Grafiti Tour criança</t>
  </si>
  <si>
    <t>Guatape - Regular</t>
  </si>
  <si>
    <t>Localizado perto de Medellin, Guatapé é um povoado vibrante com a Pedra de Peñol de 200mts para subir
 e ter uma vista l inda das montanhase lagos da região.
 Ponto de encontro Parque el Poblado as 06:50am
 Inclui: 
 - Transfer ida e volta do hotel
 - Fotos
 - Guias locais em espanhol e inglês 
 - Almoço 
 - Snacks
 - Tickets da Pedra do Peñol (740 degraus) 
 Valor a pagar no passeio
  No dia do passeio realizar o pagamento de COP 109.000 referente ao saldo do passeio por pessoa somente em dinheiro</t>
  </si>
  <si>
    <t>Ponto de encontro Parque el Poblado as 06:50am</t>
  </si>
  <si>
    <t>Parapente 1 pessoa</t>
  </si>
  <si>
    <t>Parapente + 2 pessoas</t>
  </si>
  <si>
    <t>Tour - Não dizemos seu nome - Na cidade</t>
  </si>
  <si>
    <t>Visita a lugares icônicos e importantes para entender a história de um dos personagens mais conhecidos da Colômbia
 Ponto de encontro: Juan Valdez do Parque Lleras as 09:20am ou 13:50
 Inclui: 
 - Transporte ida e volta
 - Guia local em espanhol ou inglês (depende da disponibilidade)
 - Visita ao edifício Mônoco
 - Visita a prisão La Catedral
 - Visita ao campo de futebol El Dorado
 - Visita ao cemitério onde está enterrado
 Valor a pagar no passeio
  No dia do passeio realizar o pagamento de COP 85.000 referente ao saldo do passeio por pessoa somente em dinheiro</t>
  </si>
  <si>
    <t>Ponto de encontro: Juan Valdez do Parque Lleras as 09:20am ou 13:50</t>
  </si>
  <si>
    <t>Tour de Café</t>
  </si>
  <si>
    <t>Aprender sobre o cultivo, processos até a degustação do famoso e premiado café colombiano
 Ponto de encontro a definir
 Inclui: 
 - Transporte ida e volta
 - Guias em espanhol e inglês 
 - Snacks e Almoço 
 - Souvenir da plantação 
 Valor a pagar no passeio
  No dia do passeio realizar o pagamento de COP 160.000 referente ao saldo do passeio por pessoa somente em dinheiro</t>
  </si>
  <si>
    <t>BOGOTA</t>
  </si>
  <si>
    <t>Adicional noturno das 22:00hs as 05:30hs</t>
  </si>
  <si>
    <t>Catedral de Sal Privativo</t>
  </si>
  <si>
    <t>Experiência inesquecível de conhecer uma das maravilhas da Colômbia, uma Catedral construída no coração de uma montanha de sal
 Ponto de encontro hotel as 7:00am 
 Inclui
 - Transporte ida e volta nos pontos de encontro
 - Audio guia (levar fones)
 - Entrada sem fila bilheteria
 - 01 hora livre - para almoço ou visita ao pueblo de Zipaquirá
 - Seguro viagem</t>
  </si>
  <si>
    <t>08:55</t>
  </si>
  <si>
    <t>Catedral de Sal</t>
  </si>
  <si>
    <t>Experiência inesquecível de conhecer uma das maravilhas da Colômbia, uma Catedral construída no coração de uma montanha de sal
 Ponto de encontro as 08am na Candelaria ou as 09am no Parque 93
 Inclui
 - Transporte compartilhado ida e volta nos pontos de encontro
 - Audio guia (levar fones)
 - Entrada sem fila bilheteria
 - 01 hora livre - para almoço ou visita ao pueblo de Zipaquirá
 - Seguro viagem
 Valor do saldo a pagar:
 No ponto de encontro realizar o pagamento de COP 254.000 por pessoa na van do passeio</t>
  </si>
  <si>
    <t>Apresentar-se na Carrera 11A # 93A - 10 em frente do Cafe Juan Valdez</t>
  </si>
  <si>
    <t xml:space="preserve">City Tour Panoramico Bogotá </t>
  </si>
  <si>
    <t>Ônibus Panorâmico para subir e descer nos prinicpais pontos turísticos da cidade. É um veículo que dá a volta na cidade, o circuito completo dura 4
 horas, as paradas são de alguns minutos para fotos e o ticket vale por 7 dias.
 - Tour panorâmico com paradas nos principais pontos
 - Coordenador bíligue a audioguia
 - Mapa da cidade e cupons de cortesia e descontos
 - Tícket válido por 7 dias a partir do primeiro monento que se usa.
 Saídas de sábado a segunda (exceto domingos
 e feriados).
 Manhã as 09 am e tarde as 2pm
 Duração: 04hs</t>
  </si>
  <si>
    <t>Ponto de encontro  na candelaria Calle 16#4-23, na frente do café Juan Valdéz e 15:00Hrs termina no Parque 93</t>
  </si>
  <si>
    <t>Ponto de Passeio panorâmico em Bogotá
 para conhecer os principais pontos
 e atrações turísticas da cidade em
 um dia e visita a Catedral de Sal em
 Zipaquirá no outro. 
 -Tour panorâmico com paradas nos principais pontos
 - Coordenador bíligue a audioguia
 - Mapa da cidade e cupons de cortesia e descontos
 - Tour em grupo a Catedral de sal com entradas e audio guia.
 Valor do saldo a pagar:
 No punto de encontro com o guia COP por pessoa
 Saídas diárias (exceto domingos e feriados).
 Ponto de encontro as 14:00 no Candelaria e
 termina as 20:00 no Parque 93
 Duração: 06 horas</t>
  </si>
  <si>
    <t>Catedral de Sal Zipaquira &amp; Zipaquirá Regular</t>
  </si>
  <si>
    <t>Uma experiência inesquecível: visitando uma das maravilhas da Colômbia, a Catedral construída no coração de uma montanha de sal.
 - Transporte compartilhado ida e volta nos pontos de encontro
 - Audio guia (levar fones)
 - Entrada sem fila bilheteria
 - Visita a catedral (2 horas)
 - Tempo livre para almoço - (1 hora)
 - Seguro viagem
 Ponto de encontro as 08am na Candelaria ou as 09am no Parque 93
 Inclui
 - Transporte compartilhado ida e volta nos pontos de encontro
 - Audio guia (levar fones)
 - Entrada sem fila bilheteria
 - 01 hora livre - para almoço ou visita ao pueblo de Zipaquirá
 - Seguro viagem
 Saídas diárias
 Ponto de encontro as 08am na Candelaria
 ou 09am no Parque 93
 Duração: 07 a 09 horas</t>
  </si>
  <si>
    <t>Catedral de Sal Light Regular</t>
  </si>
  <si>
    <t>Uma experiência inesquecível: visitando uma das maravilhas da Colômbia, a Catedral construída nocoração de uma montanha de sal.
 - Transporte compartilhado ida e volta nos pontos de encontro
 - Audio guia (levar fones)
 - Entrada sem fila bilheteria
 - Visita a catedral (2 horas)
 - Seguro viagem
 Saídas diárias
 Ponto de encontro as 08am na Candelaria
 ou 09am no Parque 93
 Duração: 06 horas</t>
  </si>
  <si>
    <t>Fazenda de Café Colombiano Regular</t>
  </si>
  <si>
    <t>O café colombiano é um dos melhores do mundo. Ideal para conhecer sobre o café e aproveitar a paisagem
 Duração de 09 a a 11 horas/ Ponto de encontro as 07am no Parque 93 ou 08am na Candelari
 Inclui
 - Transporte ida e volta 
 - Visita a cachoeira Tequendema
 - Entradas e guia (Ing ou Esp) 
 - Degustação de café e visita a fazenda
 - Seguro viagem
 Valor do saldo a pagar:
 No punto de encontro com o guia COP 339.015 por pessoa</t>
  </si>
  <si>
    <t>06:55</t>
  </si>
  <si>
    <t>Walking Tour Centro Historico Privativo + Monserrat Privativo Toka 2Pax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</si>
  <si>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298.000 por pessoa</t>
  </si>
  <si>
    <t>Apresentar-se na recepção do hotel.</t>
  </si>
  <si>
    <t>Walking Tour Centro Historico Privativo + Monserrat Privativo Toka 3 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</si>
  <si>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269.000 por pessoa</t>
  </si>
  <si>
    <t>Walking Tour Centro Historico Privativo + Monserrat Privativo Toka 4 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</si>
  <si>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539.000 por pessoa</t>
  </si>
  <si>
    <t>Walking Tour Centro Historico Privativo + Monserrat Privativo Toka 5 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</si>
  <si>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212.000 por pessoa</t>
  </si>
  <si>
    <t>Walking Tour Centro Historico Privativo + Monserrat Privativo Toka 6 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</si>
  <si>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177.000 por pessoa</t>
  </si>
  <si>
    <t>Walking Tour Centro Historico Privativo + Monserrat Privativo Mika 2Pax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</si>
  <si>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581.000 por pessoa</t>
  </si>
  <si>
    <t>Walking Tour Centro Historico Privativo + Monserrat Privativo Mika 3 Pax</t>
  </si>
  <si>
    <t>Ao caminhar, você viverá uma experiência que
 tem a combinação perfeita de cultura e
 história. Monserrate é um dos destinos
 turísticos mais populares de Bogotá, devido à
 sua localização elevada e vistas panorâmica.
 Inclui:
 - Transporte privativo ida e volta
 - Guia
 - Pontos; Candelaria, Centro Internacional,
 Zona T, Zona G, Monserrate
 - Entrada no Monserrate + 1 museu
 - Museu de Botero ou Museu do Ouro
 - Seguro viagem
 Saídas diárias.
 Saídas até as 10:00 horas.
 Ponto de encontro na recepção do hotel.
 Duração: de 07 a 08 horas.
 Valor do saldo a pagar:
 No punto de encontro com o guia COP 533.000 por pessoa</t>
  </si>
  <si>
    <t>Walking Tour Centro Historico Privativo + Monserrat Privativo Mika 4 Pax</t>
  </si>
  <si>
    <t>Walking Tour Centro Historico Privativo + Monserrat Privativo Mika 5 Pax</t>
  </si>
  <si>
    <t>###################################################################################</t>
  </si>
  <si>
    <t>Walking Tour Centro Historico Privativo + Monserrat Privativo Mika 6 Pax</t>
  </si>
  <si>
    <t>Guatavita e Zipaquirá Privativo</t>
  </si>
  <si>
    <t>10:00</t>
  </si>
  <si>
    <t>Tour de Escala</t>
  </si>
  <si>
    <t>O condutor estará esperando com um aviso com seu nome na saída conforme o caso: chegadas internacionais (porta 5) ou chegadas nacionais (porta 3). Conecte-se à rede Wi-Fi do aeroporto e escreva ou ligue para o número +573214820537 para ajudá-lo.</t>
  </si>
  <si>
    <t>11:25</t>
  </si>
  <si>
    <t>City Tour Panoramico + Monserrat Privativo</t>
  </si>
  <si>
    <t>City Tour Panoramico</t>
  </si>
  <si>
    <t>Walking Tour Centro Historico Privativo</t>
  </si>
  <si>
    <t>Guatavita e Zipa</t>
  </si>
  <si>
    <t>07:55</t>
  </si>
  <si>
    <t>Candelaria Tour</t>
  </si>
  <si>
    <t>Caminhada pelo centro histórico de Bogotá com guias locais para apresentar museus, pontos turísticos, lojas e restaurantes. Visita guiada ao Museo del Oro para aprender mais sobre a historia pré hispanica da Colômbia e do Novo Mundo. 
 Apresentar-se na Plaza de la Candelaria as 10:00 am
 Inclui
 - Guia local em espanhol ou inglês
 - Entrada ao museu do Ouro. (fechado as segunda feiras)
 - Seguro viagem
 Valor do saldo a pagar:
 No punto de encontro com o guia COP 60.000 por pessoa</t>
  </si>
  <si>
    <t xml:space="preserve">Apresentar-se na Plaza de la Candelaria </t>
  </si>
  <si>
    <t>Night Tour</t>
  </si>
  <si>
    <t>Conhecer Bogotá de noite, ver o entardecer em Monserrate e degustar as iguarias colombianas no restaurante mais famoso da cidade.
 Saídas diárias.
 Ponto de encontro as 17hs no Parque 93 ou 18hs na Candelaria 
 Duração: 05 a 06 horas
 Inclui
 - Transporte compartilhado ida e volta nos pontos de encontro 
 - Guia (esp / ing)
 - Ticket e entrada sem fila Monserrate
 - Drink local
 - Pontos: Candelaria, Zona T
 - Seguro viagem
 Valor do saldo a pagar:
 No punto de encmtro com o guia COP 200.000 por pessoa</t>
  </si>
  <si>
    <t>Apresentar-se as 16:55 na Carrera 11A # 93A - 10 em frente do Cafe Juan Valdez</t>
  </si>
  <si>
    <t>Transfer Aeroporto/Hotel Bogotá até 02 pessoas</t>
  </si>
  <si>
    <t>O condutor estará esperando as XXX com um aviso com seu nome para que você possa identificá-la na saída conforme o caso: chegadas internacionais (porta 5) ou chegadas nacionais (porta 3). Se não conseguir encontrar facilmente o aviso, conecte-se à rede Wi-Fi do aeroporto e escreva ou ligue para o número +573214820537 para ajudá-lo.</t>
  </si>
  <si>
    <t>O condutor estará esperando com um aviso com seu nome para que você possa identificá-la na saída conforme o caso: chegadas internacionais (porta 5) ou chegadas nacionais (porta 3). Se não conseguir encontrar facilmente o aviso, conecte-se à rede Wi-Fi do aeroporto e escreva ou ligue para o número +573214820537 para ajudá-lo.</t>
  </si>
  <si>
    <t>Transfer Hotel/Aeroporto Bogotá até 02 pessoas</t>
  </si>
  <si>
    <t>Apresentar-se na recepção as XXX am para esperar o motorista.</t>
  </si>
  <si>
    <t>Transfer Aeroporto/Hotel Bogotá até 06 pessoas</t>
  </si>
  <si>
    <t>Transfer Hotel/Aeroporto Bogotá até 06 pessoas</t>
  </si>
  <si>
    <t>Transfer Aeroporto/Hotel Bogotá até 16 pessoas</t>
  </si>
  <si>
    <t>Transfer Hotel/Aeroporto Bogotá até 16 pessoas</t>
  </si>
  <si>
    <t xml:space="preserve">Experiência inesquecível de conhecer uma das maravilhas da Colômbia, uma Catedral construída no coração de uma montanha de sal
Ponto de encontro hotel as 7:00am 
Inclui
- Transporte ida e volta nos pontos de encontro
- Audio guia (levar fones)
- Entrada sem fila bilheteria
- 01 hora livre - para almoço ou visita ao pueblo de Zipaquirá
- Seguro viagem
</t>
  </si>
  <si>
    <t xml:space="preserve">Apresentar-se  as 08:55 na Carrera 11A # 93A - 10 em frente do Cafe Juan Valdez </t>
  </si>
  <si>
    <t>Experiência inesquecível de conhecer uma das maravilhas da Colômbia, uma Catedral construída no coração de uma montanha de sal
Ponto de encontro as 08am na Candelaria ou as 09am  no Parque 93
Inclui
- Transporte compartilhado ida e volta nos pontos de encontro
- Audio guia (levar fones)
- Entrada sem fila bilheteria
- 01 hora livre - para almoço ou visita ao pueblo de Zipaquirá
- Seguro viagem
Valor do saldo a pagar:
No ponto de encontro realizar o pagamento de COP 204.000 por pessoa na van do passeio</t>
  </si>
  <si>
    <t>Villa de Leiva</t>
  </si>
  <si>
    <t>Visita a cidade colonial mais charmosa da região, um povoado colonial que combina paisagens naturais e arquitetura pré colonial
Duração de 07 a 09 hora/ Ponto de encontro as 08am na Candelaria ou as 09am  no Parque 93
Inclui
- Transporte compartilhado ida 
e volta nos pontos de encontro
- Audio guia - levar fones
- Entradas em 2 atrações (opções: Museo Paleontoló0gico, Casa Terracota y Sol Muisca )
-Tempo livre para conhecer e almoçar na cidade
-  Seguro viagem
Valor do saldo a pagar:
No punto de encontro com o guia COP 270.000 por pessoa</t>
  </si>
  <si>
    <t>Coffe Farm</t>
  </si>
  <si>
    <t>O café colombiano é um dos melhores do mundo. Ideal para conhecer sobre o café e aproveitar a paisagem
Duração de 09 a a 11 horas/ Ponto de encontro as 07am no Parque 93 ou 08am na  Candelari
Inclui
- Transporte ida e volta 
- Visita a cachoeira Tequendema
- Entradas e guia (Ing ou Esp)  
- Degustação de café e visita a fazenda
-  Seguro viagem
Valor do saldo a pagar:
No punto de encontro com o guia COP 204.000 por pessoa</t>
  </si>
  <si>
    <t xml:space="preserve">Apresentar-se  as 06:55 na Carrera 11A # 93A - 10 em frente do Cafe Juan Valdez </t>
  </si>
  <si>
    <t xml:space="preserve">Passeio panorâmico em  Bogotá 
para conhecer os principais pontos 
e atrações turísticas da cidade.
Ponto de encontro no hotel as 8:00am
- Transporte  ida e volta nos pontos de encontro 
- Guia em inglês, portuges ou espanhol
-  Pontos: Candelaria, Centro Internacional, Zona T, Zona G, Monserrate
- Entrada no Monserrate
 - Degustação de café colombiano premium
-  Seguro viagem
Saídas diárias.
Duração:  de 06 a 07 horas
</t>
  </si>
  <si>
    <t>Passeio panorâmico em  Bogotá 
para conhecer os principais pontos 
e atrações turísticas da cidade.
Ponto de encontro as 2:00pm na Candelaria  e volta as 07:00pm parque da 93 
- Transporte compartilhado ida e volta nos pontos de encontro 
- Guia em inglês ou espanhol
-  Pontos; Candelaria, Centro Internacional, Zona T, Zona G, Monserrate
- Entrada no Monserrate
 - Degustação de café colombiano premium
-  Seguro viagem
Saídas diárias.
Duração:  de 06 a 07 horas
Valor do saldo a pagar:
No punto de encontro com o guia COP 204.000 por pessoa</t>
  </si>
  <si>
    <t xml:space="preserve">Ponto de encontro as 2:00pm na Candelaria  e volta as 07:00pm parque da 93 </t>
  </si>
  <si>
    <t>Experiência inesquecível de conhecer uma das maravilhas da Colômbia, uma Catedral construída no coração de uma montanha de sal
Ponto de encontro as 07:00 hrs na Candelaria ou as 08:00 hrs  no Parque 93
Inclui
Transporte compartilhado ida 
e volta nos pontos de encontro
- Audio guia - levar fones
- Visita ao pueblo e a Lagoa de Guatavita (El Dorado) 
- Entradas sem fila de bilheteria   
- 01 hora livre para almoço ou
 visita ao pueblo de Zipaquirá
-  Seguro viagem
Valor do saldo a pagar:
No punto de encontro com o guia COP 304.000 por pessoa</t>
  </si>
  <si>
    <t xml:space="preserve">Apresentar-se  as 07:55 na Carrera 11A # 93A - 10 em frente do Cafe Juan Valdez </t>
  </si>
  <si>
    <t>Caminhada pelo centro histórico de Bogotá com guias locais para apresentar museus, pontos turísticos, lojas e restaurantes. Visita guiada ao Museo del Oro para aprender mais sobre a historia pré hispanica da Colômbia e do Novo Mundo.  
Apresentar-se na Plaza de la Candelaria as 10:00 am
Inclui
- Guia local em espanhol ou inglês
- Entrada ao museu do Ouro. (fechado as segunda feiras)
-  Seguro viagem
Valor do saldo a pagar:
No punto de encontro com o guia COP 60.000 por pessoa</t>
  </si>
  <si>
    <t>Apresentar-se na Plaza de la Candelaria as 10:00 am</t>
  </si>
  <si>
    <t>Conhecer Bogotá de noite, ver o entardecer em Monserrate e degustar as iguarias colombianas no restaurante mais famoso da cidade.
Saídas diárias.
Ponto de encontro as 17hs no Parque 93 ou  18hs na Candelaria 
Duração: 05  a 06 horas
Inclui
- Transporte compartilhado ida e volta nos pontos de encontro 
- Guia  (esp / ing)
-  Ticket e entrada sem fila Monserrate
- Drink local
- Pontos: Candelaria, Zona T
-  Seguro viagem
Valor do saldo a pagar:
No punto de encmtro com o guia COP 200.000 por pessoa</t>
  </si>
  <si>
    <t xml:space="preserve">Apresentar-se  as 16:55 na Carrera 11A # 93A - 10 em frente do Cafe Juan Valdez </t>
  </si>
  <si>
    <t>Apresentar-se na recepção as  XXX am para esperar o motorista.</t>
  </si>
  <si>
    <t>Transfer Aeroporto/Hotel Bogotá até 10 pessoas</t>
  </si>
  <si>
    <t>O motorista ficara do lado de fora na faixa do meio da porta 03 com a plaquinha esperando os passageiros para levar ao Hotel</t>
  </si>
  <si>
    <t>Transfer Hotel/Aeroporto Bogotá até 10 pessoas</t>
  </si>
  <si>
    <t>O condutor estará esperando as XXX com um aviso com seu nome para que você possa identificá-la na saída conforme o caso: chegadas internacionais (porta 5) ou chegadas nacionais (porta 3). Se não conseguir encontrar facilmente o aviso, conecte-se à rede Wi-Fi do aeroporto e escreva ou ligue para o número +573214820537 para ajudá-lo.3</t>
  </si>
  <si>
    <t>Transfer Aeroporto/Hotel Bogotá até 02 pessoas 2024</t>
  </si>
  <si>
    <t>Transfer Hotel/Aeroporto Bogotá até 02 pessoas 2024</t>
  </si>
  <si>
    <t>Transfer Aeroporto/Hotel Bogotá até 06 pessoas 2024</t>
  </si>
  <si>
    <t>Transfer Hotel/Aeroporto Bogotá até 06 pessoas 2024</t>
  </si>
  <si>
    <t>Transfer Aeroporto/Hotel Bogotá até 10 pessoas 2024</t>
  </si>
  <si>
    <t>Transfer Hotel/Aeroporto Bogotá até 10 pessoas 2024</t>
  </si>
  <si>
    <t>City tour + Catedral de Sal privativo (em espanhol)
Apresentar-se na recepção do hotel as 08am 
Um passeio pela Candelaria, centro histórico de Bogotá, para conhecer as principais ruas, como a Carrera Septima, Plaza Bolivar, Chorro de Quevedo, Plazoleta Gabriel Garcia Marquez, dentre outros pontos. 
Depois saída para Zipaquirá para conhecer a praça principal e a Catedral de Sal. Na chegada a Zipaquirá haverá tempo de aproximadamente 1:30h para almoço (não incluído) e depois visitar a Catedral ( aproximadamente 2 horas). 
Após a visita, retorno ao hotel em Bogotá</t>
  </si>
  <si>
    <t xml:space="preserve">Apresentar-se na recepção do hotel as 08am </t>
  </si>
  <si>
    <t>City Tour + Monserrate</t>
  </si>
  <si>
    <t>City tour + Monserrate privativo 
Apresentar-se na recepção do hotel as 08am 
Um passeio pela Candelaria, centro histórico de Bogotá, para conhecer as principais ruas, como a Carrera Septima, Plaza Bolivar, Museo del Oro, Chorro de Quevedo, Plazoleta Gabriel Garcia Marquez, dentre outros pontos importantes da cidade.
Depois saída para o Monserrate para aproveitar a vista da Cidade em um dos passeios mais iconicos da Capital. Após a visita, retorno ao hotel em Bogotá</t>
  </si>
  <si>
    <t>Tour Por do sol em lancha privativa  Silver</t>
  </si>
  <si>
    <t xml:space="preserve">Passeio de iate pela Báia de Cartagena para curtir o por do sol com boa música e alto astral.
Apresentar-se na hora convenida no portão #4 da Marina La Bodeguita para embarque onde o barco Sibarita Master estará ancorado e a tripulação dará assistência no embarque. Pagar a taxas portuárias COP 12.000 (valor por pessoa – somente em dinheiro. Valor sujeito a alterações)
Inclui: Cuba Livre, ponche de rum, limonada, 6 cervejas nacionais, vinho,  água e refrigerante 
Serviços a bordo: banheiros, Mesas e bancos cômodos e serviço de bar com de bebidas e aperitivos (com custo adicional) 
Valor do saldo a pagar:
Na embarcação na hora do registro realizar o pagamento de COP 85.000 referente ao saldo do passeio por pessoa no dinheiro ou cartão de crédito.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bebidas ou comidas, mas podem ser levadas. 
Valor do saldo a pagar:
No dia do tour fazer o pagamento do saldo restante de COP 1.125.000 para a pessoa  encarregada de recebê-los, seu nombre é Arturo e estará la para dar toda asisstência na hora do embarque.  </t>
  </si>
  <si>
    <t xml:space="preserve">Apresentar-se as 08:50 na Marina Los Pegasos onde la tripulação da lancha Seawater estará esperando para dar assistência na hora del embarque.  </t>
  </si>
  <si>
    <t xml:space="preserve">Passeio de iate pela Báia de Cartagena para curtir o por do sol com boa música e alto astral.
Apresentar-se na hora convenida no portão #4 da Marina La Bodeguita para embarque onde o barco Sibarita Master estará ancorado e a tripulação dará assistência no embarque. Pagar a taxas portuárias COP 12.000 (valor por pessoa – somente em dinheiro. Valor sujeito a alterações)
Inclui: Trnsporte terrestre, Asistente Bilingue + botelha de Champagne+ Catering por passageiro (1 mix de frutas, Sandwich presusnto e queijo, 2 refrigerantes, 3 cerveijas club Colombia, 1 patacon por pessoa). 
Serviços a bordo: banheiros, Mesas e bancos cômodos e serviço de bar com de bebidas e aperitivos (com custo adicional) 
Valor do saldo a pagar:
Na embarcação na hora do registro realizar o pagamento de COP 85.000 referente ao saldo do passeio por pessoa no dinheiro ou cartão de crédito.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mas podem ser levadas. 
Valor do saldo a pagar:
No dia do tour fazer o pagamento do saldo restante de COP 1.125.000 para a pessoa  encarregada de recebê-los, seu nombre é Arturo e estará la para dar toda asisstência na hora do embarque.  </t>
  </si>
  <si>
    <t xml:space="preserve">Excelente opção para curtir uma aventura em alto mar, navegando no mar azul e visitando as praias lindas do Caribe Colombiano 
Apresentar-se a as 08:30am na Marina (a ser definida mais próximo do passeio) onde la tripulação estará esperando para dar assistência na hora del embarque.  
Inclui: 
Capitão e tripulação 
Gelo e Cooler
Combustível
Sistema de som
Banheiro 
Não Inclui:
Toalhas, bebidas ou comidas, mas podem ser levadas. 
Valor do saldo a pagar:
No dia do tour fazer o pagamento do saldo restante de COP 1.350.000 para a pessoa  encarregada de recebê-los, seu nombre é Arturo e estará la para dar toda asisstência na hora do embarque.  </t>
  </si>
  <si>
    <t>Catedral de Sal + CIty Tour + Monserrate Privativo</t>
  </si>
  <si>
    <t xml:space="preserve">Catedral de Sal Privativo + CIty Tour + Monserrate
Experiência inesquecível de conhecer uma das maravilhas da Colômbia, uma Catedral construída no coração de uma montanha de sal.
Depois um passeio pela Candelaria, centro histórico de Bogotá, para conhecer as principais ruas, como a Carrera Septima, Plaza Bolivar, Museo del Oro, Chorro de Quevedo, Plazoleta Gabriel Garcia Marquez, dentre outros pontos importantes da cidade.
Depois saída para o Monserrate para aproveitar a vista da Cidade em um dos passeios mais iconicos da Capital. Após a visita, retorno ao hotel em Bogotá
Ponto de encontro hotel as 7:00am 
Inclui
- Transporte ida e volta nos pontos de encontro
- Guia em português
- Audio guia (levar fones)
- Entrada sem fila bilheteria na Catedral de Sal
- Entrada sem fila bilheteria em Monserrate
- Seguro viagem
</t>
  </si>
  <si>
    <t>Catedral de Sal + Andrés Carne de Res</t>
  </si>
  <si>
    <t xml:space="preserve">Ponto de encontro no hotel as 2pm </t>
  </si>
  <si>
    <t>2024-2025</t>
  </si>
  <si>
    <t>Activo</t>
  </si>
  <si>
    <t>Data inicio</t>
  </si>
  <si>
    <t>Data fim</t>
  </si>
  <si>
    <t>Adicional noturno das 21:00hs as 06:00hs</t>
  </si>
  <si>
    <t>OK Geni</t>
  </si>
  <si>
    <t>2025</t>
  </si>
  <si>
    <t>Consultoria Express</t>
  </si>
  <si>
    <t>Coralina Isleño</t>
  </si>
  <si>
    <t>Coralina VIP</t>
  </si>
  <si>
    <t>Edição Fotografica</t>
  </si>
  <si>
    <t>Fenix Cena com ninho 10 PAX</t>
  </si>
  <si>
    <t>Fenix Cena com ninho 15 PAX</t>
  </si>
  <si>
    <t>Isla Palma (Sem transfer)</t>
  </si>
  <si>
    <t>Isla Palma Terrestre</t>
  </si>
  <si>
    <t>Jantar Sibarita Express</t>
  </si>
  <si>
    <t>Precio definido</t>
  </si>
  <si>
    <t>Jantar Sibarita Master</t>
  </si>
  <si>
    <t>Luxury Classic</t>
  </si>
  <si>
    <t>Revéillon Sibarita Master</t>
  </si>
  <si>
    <t>Réveillon WALA - Cartagena</t>
  </si>
  <si>
    <t>Rosario De Mar Abanico</t>
  </si>
  <si>
    <t>Rosario De Mar Criança abanico</t>
  </si>
  <si>
    <t>Sabai Dayuse Crianças</t>
  </si>
  <si>
    <t>Sabai terrestre</t>
  </si>
  <si>
    <t>Sol y Papaya Open Bar</t>
  </si>
  <si>
    <t>Sol y Papaya Pasadia</t>
  </si>
  <si>
    <t xml:space="preserve">Sunset Sibarita Express </t>
  </si>
  <si>
    <t>Por definir precio</t>
  </si>
  <si>
    <t>Sunset Sibarita Express Crianças</t>
  </si>
  <si>
    <t>Sunset Sibarita Master</t>
  </si>
  <si>
    <t>Sunset Sibarita Master Criança</t>
  </si>
  <si>
    <t>Tour Moto, Bici Moto, Moto Chopper Bocagrande</t>
  </si>
  <si>
    <t>WALA Beach Club</t>
  </si>
  <si>
    <t>City Tour Panoramico Bogotá Regular</t>
  </si>
  <si>
    <t>Walking Tour + Castillo San Felipe VIP 14:00 3PAX/4PAX</t>
  </si>
  <si>
    <t>Walking Tour + Castillo San Felipe VIP 09:00 1PAX 2024</t>
  </si>
  <si>
    <t>Walking Tour + Castillo San Felipe VIP 09:00 2PAX 2024</t>
  </si>
  <si>
    <t>Walking Tour + Castillo San Felipe VIP 09:00 3PAX/4PAX 2024</t>
  </si>
  <si>
    <t>Walking Tour + Castillo San Felipe VIP 09:00 5PAX 2024</t>
  </si>
  <si>
    <t>Walking Tour + Castillo San Felipe VIP 09:00 6PAX 2024</t>
  </si>
  <si>
    <t>Walking Tour + Castillo San Felipe VIP 14:00 1PAX 2024</t>
  </si>
  <si>
    <t>Walking Tour + Castillo San Felipe VIP 14:00 2PAX 2024</t>
  </si>
  <si>
    <t>Walking Tour + Castillo San Felipe VIP 14:00 3PAX/4PAX 2024</t>
  </si>
  <si>
    <t xml:space="preserve">WALA Beach Club </t>
  </si>
  <si>
    <t>WALA Beach Club 2024</t>
  </si>
  <si>
    <t>Réveillon WALA - Cartagena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</si>
</sst>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Pessoas&quot;\ 00"/>
    <numFmt numFmtId="165" formatCode="_-[$COP]\ * #,##0_-;\-[$COP]\ * #,##0_-;_-[$COP]\ * &quot;-&quot;_-;_-@"/>
    <numFmt numFmtId="166" formatCode="dd/mm/yyyy"/>
    <numFmt numFmtId="167" formatCode="&quot;- (*) Valor da entrada para&quot;\ 00\ &quot;pessoas:&quot;"/>
    <numFmt numFmtId="168" formatCode="_-[$R$-416]\ * #,##0.00_-;\-[$R$-416]\ * #,##0.00_-;_-[$R$-416]\ * &quot;-&quot;_-;_-@"/>
    <numFmt numFmtId="169" formatCode="00\ &quot;pessoas&quot;"/>
    <numFmt numFmtId="170" formatCode="&quot;Número de Pessoas:&quot;\ 0#"/>
    <numFmt numFmtId="171" formatCode="hh&quot;:&quot;mm"/>
    <numFmt numFmtId="172" formatCode="&quot;Valor taxas:&quot;\ \C\O\P\ \ #,###"/>
    <numFmt numFmtId="173" formatCode="_-&quot;$&quot;\ * #,##0_-;\-&quot;$&quot;\ * #,##0_-;_-&quot;$&quot;\ * &quot;-&quot;_-;_-@"/>
    <numFmt numFmtId="174" formatCode="&quot;Valor taxas:&quot;\ \C\O\P\ \ #,###\ &quot; em pesos colombianos por pessoa (somente dinheiro)&quot;"/>
  </numFmts>
  <fonts count="35" x14ac:knownFonts="1">
    <font>
      <sz val="11"/>
      <color theme="1"/>
      <name val="Calibri"/>
      <scheme val="minor"/>
    </font>
    <font>
      <b/>
      <sz val="13"/>
      <color theme="4"/>
      <name val="Calibri"/>
    </font>
    <font>
      <b/>
      <sz val="17"/>
      <color theme="4"/>
      <name val="Calibri"/>
    </font>
    <font>
      <b/>
      <sz val="13"/>
      <color rgb="FF4472C4"/>
      <name val="Calibri"/>
    </font>
    <font>
      <sz val="11"/>
      <name val="Calibri"/>
    </font>
    <font>
      <b/>
      <sz val="17"/>
      <color rgb="FF4472C4"/>
      <name val="Calibri"/>
    </font>
    <font>
      <b/>
      <sz val="15"/>
      <color theme="4"/>
      <name val="Calibri"/>
    </font>
    <font>
      <b/>
      <sz val="19"/>
      <color rgb="FF4472C4"/>
      <name val="Calibri"/>
    </font>
    <font>
      <sz val="21"/>
      <color theme="1"/>
      <name val="Calibri"/>
    </font>
    <font>
      <sz val="12"/>
      <color theme="1"/>
      <name val="Calibri"/>
    </font>
    <font>
      <sz val="11"/>
      <color theme="1"/>
      <name val="Calibri"/>
    </font>
    <font>
      <sz val="13"/>
      <color theme="1"/>
      <name val="Calibri"/>
    </font>
    <font>
      <sz val="11"/>
      <color rgb="FF1F1F1F"/>
      <name val="Arial"/>
    </font>
    <font>
      <sz val="15"/>
      <color theme="1"/>
      <name val="Calibri"/>
    </font>
    <font>
      <b/>
      <sz val="13"/>
      <color theme="1"/>
      <name val="Calibri"/>
    </font>
    <font>
      <b/>
      <sz val="12"/>
      <color theme="4"/>
      <name val="Calibri"/>
    </font>
    <font>
      <b/>
      <sz val="11"/>
      <color theme="4"/>
      <name val="Calibri"/>
    </font>
    <font>
      <b/>
      <sz val="16"/>
      <color theme="1"/>
      <name val="Calibri"/>
    </font>
    <font>
      <b/>
      <sz val="11"/>
      <color theme="1"/>
      <name val="Calibri"/>
    </font>
    <font>
      <sz val="14"/>
      <color theme="1"/>
      <name val="Calibri"/>
    </font>
    <font>
      <b/>
      <sz val="15"/>
      <color theme="1"/>
      <name val="Calibri"/>
    </font>
    <font>
      <b/>
      <sz val="12"/>
      <color theme="1"/>
      <name val="Calibri"/>
    </font>
    <font>
      <b/>
      <sz val="24"/>
      <color rgb="FFDB0481"/>
      <name val="Montserrat"/>
    </font>
    <font>
      <b/>
      <sz val="13"/>
      <color theme="1"/>
      <name val="Montserrat"/>
    </font>
    <font>
      <sz val="11"/>
      <color theme="1"/>
      <name val="Montserrat"/>
    </font>
    <font>
      <b/>
      <sz val="12"/>
      <color theme="1"/>
      <name val="Montserrat"/>
    </font>
    <font>
      <b/>
      <sz val="11"/>
      <color theme="1"/>
      <name val="Montserrat"/>
    </font>
    <font>
      <b/>
      <sz val="15"/>
      <color theme="1"/>
      <name val="Montserrat"/>
    </font>
    <font>
      <sz val="9"/>
      <color theme="1"/>
      <name val="Calibri"/>
    </font>
    <font>
      <sz val="11"/>
      <color rgb="FF000000"/>
      <name val="Calibri"/>
    </font>
    <font>
      <b/>
      <sz val="14"/>
      <color theme="1"/>
      <name val="Calibri"/>
    </font>
    <font>
      <sz val="11"/>
      <color theme="1"/>
      <name val="Arial"/>
    </font>
    <font>
      <sz val="11"/>
      <color rgb="FF000000"/>
      <name val="Arial"/>
    </font>
    <font>
      <b/>
      <sz val="11"/>
      <color rgb="FF000000"/>
      <name val="Calibri"/>
    </font>
    <font>
      <sz val="11"/>
      <color theme="1"/>
      <name val="Calibri"/>
      <scheme val="minor"/>
    </font>
  </fonts>
  <fills count="15">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theme="0"/>
        <bgColor theme="0"/>
      </patternFill>
    </fill>
    <fill>
      <patternFill patternType="solid">
        <fgColor rgb="FF3DDAD7"/>
        <bgColor rgb="FF3DDAD7"/>
      </patternFill>
    </fill>
    <fill>
      <patternFill patternType="solid">
        <fgColor rgb="FFE2EFDA"/>
        <bgColor rgb="FFE2EFDA"/>
      </patternFill>
    </fill>
    <fill>
      <patternFill patternType="solid">
        <fgColor rgb="FFC6E0B4"/>
        <bgColor rgb="FFC6E0B4"/>
      </patternFill>
    </fill>
    <fill>
      <patternFill patternType="solid">
        <fgColor rgb="FFB6D7A8"/>
        <bgColor rgb="FFB6D7A8"/>
      </patternFill>
    </fill>
    <fill>
      <patternFill patternType="solid">
        <fgColor rgb="FFFFE598"/>
        <bgColor rgb="FFFFE598"/>
      </patternFill>
    </fill>
    <fill>
      <patternFill patternType="solid">
        <fgColor rgb="FFE2EFD9"/>
        <bgColor rgb="FFE2EFD9"/>
      </patternFill>
    </fill>
    <fill>
      <patternFill patternType="solid">
        <fgColor rgb="FFECECEC"/>
        <bgColor rgb="FFECECEC"/>
      </patternFill>
    </fill>
    <fill>
      <patternFill patternType="solid">
        <fgColor rgb="FFD0E0E3"/>
        <bgColor rgb="FFD0E0E3"/>
      </patternFill>
    </fill>
    <fill>
      <patternFill patternType="solid">
        <fgColor rgb="FFEA9999"/>
        <bgColor rgb="FFEA9999"/>
      </patternFill>
    </fill>
    <fill>
      <patternFill patternType="solid">
        <fgColor rgb="FFC5E0B3"/>
        <bgColor rgb="FFC5E0B3"/>
      </patternFill>
    </fill>
  </fills>
  <borders count="9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diagonal/>
    </border>
    <border>
      <left/>
      <right/>
      <top/>
      <bottom style="thick">
        <color rgb="FF000000"/>
      </bottom>
      <diagonal/>
    </border>
    <border>
      <left/>
      <right/>
      <top/>
      <bottom style="thick">
        <color rgb="FF000000"/>
      </bottom>
      <diagonal/>
    </border>
    <border>
      <left/>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top/>
      <bottom/>
      <diagonal/>
    </border>
    <border>
      <left/>
      <right style="thick">
        <color rgb="FF000000"/>
      </right>
      <top/>
      <bottom/>
      <diagonal/>
    </border>
    <border>
      <left style="thick">
        <color rgb="FF000000"/>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style="medium">
        <color rgb="FFCCCCCC"/>
      </top>
      <bottom/>
      <diagonal/>
    </border>
    <border>
      <left style="thick">
        <color rgb="FF000000"/>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thick">
        <color rgb="FF000000"/>
      </right>
      <top style="medium">
        <color rgb="FFCCCCCC"/>
      </top>
      <bottom/>
      <diagonal/>
    </border>
    <border>
      <left/>
      <right style="thick">
        <color rgb="FF000000"/>
      </right>
      <top/>
      <bottom style="medium">
        <color rgb="FFCCCCCC"/>
      </bottom>
      <diagonal/>
    </border>
    <border>
      <left/>
      <right style="medium">
        <color rgb="FFCCCCCC"/>
      </right>
      <top/>
      <bottom/>
      <diagonal/>
    </border>
    <border>
      <left style="medium">
        <color rgb="FFCCCCCC"/>
      </left>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diagonal/>
    </border>
    <border>
      <left/>
      <right/>
      <top/>
      <bottom/>
      <diagonal/>
    </border>
    <border>
      <left/>
      <right/>
      <top/>
      <bottom/>
      <diagonal/>
    </border>
    <border>
      <left style="thick">
        <color rgb="FF000000"/>
      </left>
      <right/>
      <top/>
      <bottom/>
      <diagonal/>
    </border>
    <border>
      <left/>
      <right/>
      <top/>
      <bottom/>
      <diagonal/>
    </border>
    <border>
      <left/>
      <right style="thick">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top/>
      <bottom style="thin">
        <color rgb="FF8EA9DB"/>
      </bottom>
      <diagonal/>
    </border>
    <border>
      <left/>
      <right style="thin">
        <color rgb="FF8EA9DB"/>
      </right>
      <top/>
      <bottom style="thin">
        <color rgb="FF8EA9DB"/>
      </bottom>
      <diagonal/>
    </border>
    <border>
      <left style="thin">
        <color rgb="FF8EA9DB"/>
      </left>
      <right/>
      <top/>
      <bottom style="thin">
        <color rgb="FF8EA9DB"/>
      </bottom>
      <diagonal/>
    </border>
    <border>
      <left style="thin">
        <color rgb="FF8EA9DB"/>
      </left>
      <right/>
      <top/>
      <bottom style="thin">
        <color rgb="FF8EA9DB"/>
      </bottom>
      <diagonal/>
    </border>
    <border>
      <left/>
      <right/>
      <top/>
      <bottom style="thin">
        <color rgb="FF8EA9DB"/>
      </bottom>
      <diagonal/>
    </border>
    <border>
      <left/>
      <right style="thin">
        <color rgb="FF8EA9DB"/>
      </right>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327">
    <xf numFmtId="0" fontId="0" fillId="0" borderId="0" xfId="0"/>
    <xf numFmtId="0" fontId="1" fillId="0" borderId="0" xfId="0" applyFont="1" applyAlignment="1">
      <alignment horizontal="center" vertical="center" wrapText="1"/>
    </xf>
    <xf numFmtId="164" fontId="2" fillId="0" borderId="0" xfId="0" applyNumberFormat="1" applyFont="1" applyAlignment="1">
      <alignment horizontal="center" vertical="center" wrapText="1"/>
    </xf>
    <xf numFmtId="0" fontId="6" fillId="0" borderId="1" xfId="0" applyFont="1" applyBorder="1" applyAlignment="1">
      <alignment horizontal="center" vertical="center" wrapText="1"/>
    </xf>
    <xf numFmtId="14" fontId="8" fillId="0" borderId="4" xfId="0" applyNumberFormat="1" applyFont="1" applyBorder="1" applyAlignment="1">
      <alignment horizontal="center" vertical="center"/>
    </xf>
    <xf numFmtId="0" fontId="8" fillId="0" borderId="4" xfId="0" applyFont="1" applyBorder="1" applyAlignment="1">
      <alignment horizontal="center" vertical="center"/>
    </xf>
    <xf numFmtId="165" fontId="9" fillId="0" borderId="4" xfId="0" applyNumberFormat="1" applyFont="1" applyBorder="1" applyAlignment="1">
      <alignment horizontal="center" vertical="center" wrapText="1"/>
    </xf>
    <xf numFmtId="0" fontId="10" fillId="0" borderId="0" xfId="0" applyFont="1" applyAlignment="1">
      <alignment vertical="center"/>
    </xf>
    <xf numFmtId="166" fontId="11" fillId="0" borderId="5" xfId="0" applyNumberFormat="1" applyFont="1" applyBorder="1" applyAlignment="1">
      <alignment horizontal="center"/>
    </xf>
    <xf numFmtId="0" fontId="12" fillId="2" borderId="6" xfId="0" applyFont="1" applyFill="1" applyBorder="1" applyAlignment="1">
      <alignment horizontal="center"/>
    </xf>
    <xf numFmtId="165" fontId="11" fillId="0" borderId="0" xfId="0" applyNumberFormat="1" applyFont="1"/>
    <xf numFmtId="0" fontId="11" fillId="0" borderId="0" xfId="0" applyFont="1"/>
    <xf numFmtId="166" fontId="11" fillId="3" borderId="8" xfId="0" applyNumberFormat="1" applyFont="1" applyFill="1" applyBorder="1" applyAlignment="1">
      <alignment horizontal="center"/>
    </xf>
    <xf numFmtId="0" fontId="11" fillId="3" borderId="6" xfId="0" applyFont="1" applyFill="1" applyBorder="1" applyAlignment="1">
      <alignment horizontal="center"/>
    </xf>
    <xf numFmtId="165" fontId="11" fillId="3" borderId="6" xfId="0" applyNumberFormat="1" applyFont="1" applyFill="1" applyBorder="1"/>
    <xf numFmtId="0" fontId="11" fillId="0" borderId="0" xfId="0" applyFont="1" applyAlignment="1">
      <alignment horizontal="center"/>
    </xf>
    <xf numFmtId="165" fontId="13" fillId="0" borderId="16" xfId="0" applyNumberFormat="1" applyFont="1" applyBorder="1" applyAlignment="1">
      <alignment vertical="center"/>
    </xf>
    <xf numFmtId="165" fontId="11" fillId="0" borderId="17" xfId="0" applyNumberFormat="1" applyFont="1" applyBorder="1" applyAlignment="1">
      <alignment vertical="center"/>
    </xf>
    <xf numFmtId="165" fontId="13" fillId="0" borderId="21" xfId="0" applyNumberFormat="1" applyFont="1" applyBorder="1" applyAlignment="1">
      <alignment vertical="center"/>
    </xf>
    <xf numFmtId="0" fontId="14" fillId="0" borderId="22" xfId="0" applyFont="1" applyBorder="1" applyAlignment="1">
      <alignment vertical="center"/>
    </xf>
    <xf numFmtId="165" fontId="13" fillId="0" borderId="26" xfId="0" applyNumberFormat="1" applyFont="1" applyBorder="1" applyAlignment="1">
      <alignment vertical="center"/>
    </xf>
    <xf numFmtId="0" fontId="14" fillId="0" borderId="27" xfId="0" applyFont="1" applyBorder="1" applyAlignment="1">
      <alignment vertical="center"/>
    </xf>
    <xf numFmtId="0" fontId="10" fillId="0" borderId="5" xfId="0" applyFont="1" applyBorder="1" applyAlignment="1">
      <alignment vertical="center"/>
    </xf>
    <xf numFmtId="14" fontId="10" fillId="0" borderId="0" xfId="0" applyNumberFormat="1" applyFont="1" applyAlignment="1">
      <alignment horizontal="center"/>
    </xf>
    <xf numFmtId="0" fontId="10" fillId="0" borderId="0" xfId="0" applyFont="1" applyAlignment="1">
      <alignment horizontal="center"/>
    </xf>
    <xf numFmtId="165" fontId="10" fillId="0" borderId="0" xfId="0" applyNumberFormat="1" applyFont="1"/>
    <xf numFmtId="165" fontId="15" fillId="0" borderId="0" xfId="0" applyNumberFormat="1" applyFont="1"/>
    <xf numFmtId="167" fontId="16" fillId="0" borderId="0" xfId="0" applyNumberFormat="1" applyFont="1" applyAlignment="1">
      <alignment horizontal="center"/>
    </xf>
    <xf numFmtId="0" fontId="10" fillId="0" borderId="29" xfId="0" applyFont="1" applyBorder="1" applyAlignment="1">
      <alignment horizontal="center" vertical="center" wrapText="1"/>
    </xf>
    <xf numFmtId="166" fontId="10" fillId="0" borderId="0" xfId="0" applyNumberFormat="1" applyFont="1" applyAlignment="1">
      <alignment horizontal="center" vertical="center" wrapText="1"/>
    </xf>
    <xf numFmtId="14" fontId="19" fillId="0" borderId="0" xfId="0" applyNumberFormat="1" applyFont="1" applyAlignment="1">
      <alignment horizontal="center" vertical="center"/>
    </xf>
    <xf numFmtId="0" fontId="19" fillId="0" borderId="0" xfId="0" applyFont="1" applyAlignment="1">
      <alignment horizontal="center" vertical="center"/>
    </xf>
    <xf numFmtId="0" fontId="9" fillId="0" borderId="0" xfId="0" applyFont="1" applyAlignment="1">
      <alignment horizontal="center" vertical="center" wrapText="1"/>
    </xf>
    <xf numFmtId="166" fontId="11" fillId="0" borderId="5" xfId="0" applyNumberFormat="1" applyFont="1" applyBorder="1" applyAlignment="1">
      <alignment horizontal="center" vertical="center"/>
    </xf>
    <xf numFmtId="166" fontId="11" fillId="3" borderId="8" xfId="0" applyNumberFormat="1" applyFont="1" applyFill="1" applyBorder="1" applyAlignment="1">
      <alignment horizontal="center" vertical="center"/>
    </xf>
    <xf numFmtId="14" fontId="10" fillId="0" borderId="1" xfId="0" applyNumberFormat="1" applyFont="1" applyBorder="1" applyAlignment="1">
      <alignment horizontal="center" vertical="center"/>
    </xf>
    <xf numFmtId="0" fontId="10" fillId="0" borderId="2" xfId="0" applyFont="1" applyBorder="1" applyAlignment="1">
      <alignment horizontal="center" vertical="center"/>
    </xf>
    <xf numFmtId="0" fontId="20" fillId="0" borderId="4" xfId="0" applyFont="1" applyBorder="1" applyAlignment="1">
      <alignment horizontal="center" vertical="center"/>
    </xf>
    <xf numFmtId="165" fontId="20" fillId="0" borderId="1" xfId="0" applyNumberFormat="1" applyFont="1" applyBorder="1" applyAlignment="1">
      <alignment vertical="center"/>
    </xf>
    <xf numFmtId="0" fontId="10" fillId="0" borderId="3" xfId="0" applyFont="1" applyBorder="1" applyAlignment="1">
      <alignment vertical="center"/>
    </xf>
    <xf numFmtId="0" fontId="21" fillId="0" borderId="0" xfId="0" applyFont="1" applyAlignment="1">
      <alignment horizontal="center"/>
    </xf>
    <xf numFmtId="165" fontId="21" fillId="0" borderId="0" xfId="0" applyNumberFormat="1" applyFont="1"/>
    <xf numFmtId="0" fontId="10" fillId="0" borderId="0" xfId="0" applyFont="1"/>
    <xf numFmtId="0" fontId="10" fillId="4" borderId="6" xfId="0" applyFont="1" applyFill="1" applyBorder="1"/>
    <xf numFmtId="0" fontId="10" fillId="0" borderId="47" xfId="0" applyFont="1" applyBorder="1"/>
    <xf numFmtId="0" fontId="10" fillId="0" borderId="48" xfId="0" applyFont="1" applyBorder="1"/>
    <xf numFmtId="0" fontId="24" fillId="0" borderId="0" xfId="0" applyFont="1"/>
    <xf numFmtId="0" fontId="24" fillId="0" borderId="48" xfId="0" applyFont="1" applyBorder="1"/>
    <xf numFmtId="0" fontId="24" fillId="0" borderId="47" xfId="0" applyFont="1" applyBorder="1"/>
    <xf numFmtId="0" fontId="23" fillId="0" borderId="49" xfId="0" applyFont="1" applyBorder="1" applyAlignment="1">
      <alignment vertical="center"/>
    </xf>
    <xf numFmtId="166" fontId="25" fillId="0" borderId="50" xfId="0" applyNumberFormat="1" applyFont="1" applyBorder="1" applyAlignment="1">
      <alignment horizontal="left" vertical="center"/>
    </xf>
    <xf numFmtId="166" fontId="25" fillId="0" borderId="51" xfId="0" applyNumberFormat="1" applyFont="1" applyBorder="1" applyAlignment="1">
      <alignment horizontal="left" vertical="center"/>
    </xf>
    <xf numFmtId="0" fontId="23" fillId="0" borderId="52" xfId="0" applyFont="1" applyBorder="1" applyAlignment="1">
      <alignment vertical="center"/>
    </xf>
    <xf numFmtId="171" fontId="25" fillId="0" borderId="51" xfId="0" applyNumberFormat="1" applyFont="1" applyBorder="1" applyAlignment="1">
      <alignment horizontal="left" vertical="center"/>
    </xf>
    <xf numFmtId="0" fontId="24" fillId="0" borderId="53" xfId="0" applyFont="1" applyBorder="1"/>
    <xf numFmtId="0" fontId="24" fillId="0" borderId="54" xfId="0" applyFont="1" applyBorder="1"/>
    <xf numFmtId="0" fontId="24" fillId="0" borderId="55" xfId="0" applyFont="1" applyBorder="1"/>
    <xf numFmtId="0" fontId="24" fillId="0" borderId="56" xfId="0" applyFont="1" applyBorder="1"/>
    <xf numFmtId="0" fontId="26" fillId="0" borderId="0" xfId="0" applyFont="1"/>
    <xf numFmtId="0" fontId="23" fillId="0" borderId="49" xfId="0" applyFont="1" applyBorder="1"/>
    <xf numFmtId="0" fontId="10" fillId="4" borderId="67" xfId="0" applyFont="1" applyFill="1" applyBorder="1"/>
    <xf numFmtId="0" fontId="10" fillId="4" borderId="6" xfId="0" applyFont="1" applyFill="1" applyBorder="1" applyAlignment="1">
      <alignment horizontal="left" vertical="center"/>
    </xf>
    <xf numFmtId="14" fontId="18" fillId="4" borderId="69" xfId="0" applyNumberFormat="1" applyFont="1" applyFill="1" applyBorder="1" applyAlignment="1">
      <alignment horizontal="left" vertical="center"/>
    </xf>
    <xf numFmtId="14" fontId="18" fillId="4" borderId="6" xfId="0" applyNumberFormat="1" applyFont="1" applyFill="1" applyBorder="1" applyAlignment="1">
      <alignment horizontal="left" vertical="center"/>
    </xf>
    <xf numFmtId="0" fontId="18" fillId="4" borderId="69" xfId="0" applyFont="1" applyFill="1" applyBorder="1" applyAlignment="1">
      <alignment horizontal="left" vertical="center"/>
    </xf>
    <xf numFmtId="0" fontId="10" fillId="4" borderId="6" xfId="0" applyFont="1" applyFill="1" applyBorder="1" applyAlignment="1">
      <alignment vertical="center"/>
    </xf>
    <xf numFmtId="0" fontId="10" fillId="4" borderId="69" xfId="0" applyFont="1" applyFill="1" applyBorder="1" applyAlignment="1">
      <alignment vertical="center"/>
    </xf>
    <xf numFmtId="0" fontId="18" fillId="4" borderId="69" xfId="0" applyFont="1" applyFill="1" applyBorder="1" applyAlignment="1">
      <alignment horizontal="left" vertical="top" wrapText="1"/>
    </xf>
    <xf numFmtId="165" fontId="18" fillId="4" borderId="6" xfId="0" applyNumberFormat="1" applyFont="1" applyFill="1" applyBorder="1" applyAlignment="1">
      <alignment horizontal="left" vertical="center"/>
    </xf>
    <xf numFmtId="165" fontId="18" fillId="4" borderId="69" xfId="0" applyNumberFormat="1" applyFont="1" applyFill="1" applyBorder="1" applyAlignment="1">
      <alignment vertical="center"/>
    </xf>
    <xf numFmtId="0" fontId="10" fillId="4" borderId="76" xfId="0" applyFont="1" applyFill="1" applyBorder="1"/>
    <xf numFmtId="0" fontId="10" fillId="4" borderId="77" xfId="0" applyFont="1" applyFill="1" applyBorder="1"/>
    <xf numFmtId="0" fontId="10" fillId="4" borderId="77" xfId="0" applyFont="1" applyFill="1" applyBorder="1" applyAlignment="1">
      <alignment vertical="center"/>
    </xf>
    <xf numFmtId="0" fontId="10" fillId="4" borderId="78" xfId="0" applyFont="1" applyFill="1" applyBorder="1" applyAlignment="1">
      <alignment vertical="center"/>
    </xf>
    <xf numFmtId="0" fontId="10" fillId="4" borderId="79" xfId="0" applyFont="1" applyFill="1" applyBorder="1"/>
    <xf numFmtId="0" fontId="10" fillId="4" borderId="80" xfId="0" applyFont="1" applyFill="1" applyBorder="1"/>
    <xf numFmtId="0" fontId="10" fillId="4" borderId="81" xfId="0" applyFont="1" applyFill="1" applyBorder="1"/>
    <xf numFmtId="0" fontId="10" fillId="4" borderId="69" xfId="0" applyFont="1" applyFill="1" applyBorder="1"/>
    <xf numFmtId="0" fontId="28" fillId="4" borderId="6" xfId="0" applyFont="1" applyFill="1" applyBorder="1" applyAlignment="1">
      <alignment vertical="center" wrapText="1"/>
    </xf>
    <xf numFmtId="173" fontId="10" fillId="0" borderId="0" xfId="0" applyNumberFormat="1" applyFont="1"/>
    <xf numFmtId="49" fontId="31" fillId="0" borderId="0" xfId="0" applyNumberFormat="1" applyFont="1" applyAlignment="1">
      <alignment wrapText="1"/>
    </xf>
    <xf numFmtId="49" fontId="10" fillId="6" borderId="6" xfId="0" applyNumberFormat="1" applyFont="1" applyFill="1" applyBorder="1" applyAlignment="1">
      <alignment horizontal="center" wrapText="1"/>
    </xf>
    <xf numFmtId="173" fontId="10" fillId="6" borderId="6" xfId="0" applyNumberFormat="1" applyFont="1" applyFill="1" applyBorder="1"/>
    <xf numFmtId="49" fontId="10" fillId="7" borderId="6" xfId="0" applyNumberFormat="1" applyFont="1" applyFill="1" applyBorder="1"/>
    <xf numFmtId="173" fontId="10" fillId="6" borderId="6" xfId="0" applyNumberFormat="1" applyFont="1" applyFill="1" applyBorder="1" applyAlignment="1">
      <alignment horizontal="center" wrapText="1"/>
    </xf>
    <xf numFmtId="49" fontId="10" fillId="7" borderId="6" xfId="0" applyNumberFormat="1" applyFont="1" applyFill="1" applyBorder="1" applyAlignment="1">
      <alignment horizontal="center" wrapText="1"/>
    </xf>
    <xf numFmtId="0" fontId="31" fillId="0" borderId="82" xfId="0" applyFont="1" applyBorder="1" applyAlignment="1">
      <alignment wrapText="1"/>
    </xf>
    <xf numFmtId="173" fontId="10" fillId="0" borderId="83" xfId="0" applyNumberFormat="1" applyFont="1" applyBorder="1" applyAlignment="1">
      <alignment horizontal="center" wrapText="1"/>
    </xf>
    <xf numFmtId="49" fontId="10" fillId="0" borderId="84" xfId="0" applyNumberFormat="1" applyFont="1" applyBorder="1" applyAlignment="1">
      <alignment wrapText="1"/>
    </xf>
    <xf numFmtId="49" fontId="10" fillId="0" borderId="84" xfId="0" applyNumberFormat="1" applyFont="1" applyBorder="1" applyAlignment="1">
      <alignment horizontal="center" wrapText="1"/>
    </xf>
    <xf numFmtId="49" fontId="10" fillId="0" borderId="85" xfId="0" applyNumberFormat="1" applyFont="1" applyBorder="1" applyAlignment="1">
      <alignment horizontal="center" wrapText="1"/>
    </xf>
    <xf numFmtId="49" fontId="10" fillId="0" borderId="0" xfId="0" applyNumberFormat="1" applyFont="1"/>
    <xf numFmtId="0" fontId="31" fillId="0" borderId="86" xfId="0" applyFont="1" applyBorder="1" applyAlignment="1">
      <alignment wrapText="1"/>
    </xf>
    <xf numFmtId="173" fontId="10" fillId="0" borderId="84" xfId="0" applyNumberFormat="1" applyFont="1" applyBorder="1" applyAlignment="1">
      <alignment horizontal="center" wrapText="1"/>
    </xf>
    <xf numFmtId="49" fontId="28" fillId="0" borderId="84" xfId="0" applyNumberFormat="1" applyFont="1" applyBorder="1" applyAlignment="1">
      <alignment wrapText="1"/>
    </xf>
    <xf numFmtId="0" fontId="31" fillId="8" borderId="87" xfId="0" applyFont="1" applyFill="1" applyBorder="1" applyAlignment="1">
      <alignment wrapText="1"/>
    </xf>
    <xf numFmtId="173" fontId="10" fillId="8" borderId="88" xfId="0" applyNumberFormat="1" applyFont="1" applyFill="1" applyBorder="1" applyAlignment="1">
      <alignment horizontal="center" wrapText="1"/>
    </xf>
    <xf numFmtId="49" fontId="28" fillId="8" borderId="88" xfId="0" applyNumberFormat="1" applyFont="1" applyFill="1" applyBorder="1" applyAlignment="1">
      <alignment wrapText="1"/>
    </xf>
    <xf numFmtId="49" fontId="10" fillId="8" borderId="88" xfId="0" applyNumberFormat="1" applyFont="1" applyFill="1" applyBorder="1" applyAlignment="1">
      <alignment horizontal="center" wrapText="1"/>
    </xf>
    <xf numFmtId="49" fontId="10" fillId="8" borderId="89" xfId="0" applyNumberFormat="1" applyFont="1" applyFill="1" applyBorder="1" applyAlignment="1">
      <alignment horizontal="center" wrapText="1"/>
    </xf>
    <xf numFmtId="49" fontId="10" fillId="8" borderId="6" xfId="0" applyNumberFormat="1" applyFont="1" applyFill="1" applyBorder="1"/>
    <xf numFmtId="49" fontId="10" fillId="8" borderId="6" xfId="0" applyNumberFormat="1" applyFont="1" applyFill="1" applyBorder="1" applyAlignment="1">
      <alignment wrapText="1"/>
    </xf>
    <xf numFmtId="173" fontId="10" fillId="8" borderId="6" xfId="0" applyNumberFormat="1" applyFont="1" applyFill="1" applyBorder="1"/>
    <xf numFmtId="0" fontId="10" fillId="8" borderId="6" xfId="0" applyFont="1" applyFill="1" applyBorder="1"/>
    <xf numFmtId="49" fontId="10" fillId="8" borderId="88" xfId="0" applyNumberFormat="1" applyFont="1" applyFill="1" applyBorder="1" applyAlignment="1">
      <alignment wrapText="1"/>
    </xf>
    <xf numFmtId="49" fontId="10" fillId="0" borderId="0" xfId="0" applyNumberFormat="1" applyFont="1" applyAlignment="1">
      <alignment wrapText="1"/>
    </xf>
    <xf numFmtId="0" fontId="10" fillId="9" borderId="6" xfId="0" applyFont="1" applyFill="1" applyBorder="1"/>
    <xf numFmtId="173" fontId="10" fillId="8" borderId="88" xfId="0" applyNumberFormat="1" applyFont="1" applyFill="1" applyBorder="1" applyAlignment="1">
      <alignment horizontal="center"/>
    </xf>
    <xf numFmtId="49" fontId="10" fillId="8" borderId="6" xfId="0" applyNumberFormat="1" applyFont="1" applyFill="1" applyBorder="1" applyAlignment="1">
      <alignment horizontal="center" wrapText="1"/>
    </xf>
    <xf numFmtId="0" fontId="10" fillId="10" borderId="6" xfId="0" applyFont="1" applyFill="1" applyBorder="1"/>
    <xf numFmtId="0" fontId="10" fillId="11" borderId="6" xfId="0" applyFont="1" applyFill="1" applyBorder="1"/>
    <xf numFmtId="49" fontId="10" fillId="2" borderId="6" xfId="0" applyNumberFormat="1" applyFont="1" applyFill="1" applyBorder="1" applyAlignment="1">
      <alignment horizontal="center"/>
    </xf>
    <xf numFmtId="173" fontId="10" fillId="0" borderId="84" xfId="0" applyNumberFormat="1" applyFont="1" applyBorder="1"/>
    <xf numFmtId="0" fontId="31" fillId="6" borderId="87" xfId="0" applyFont="1" applyFill="1" applyBorder="1" applyAlignment="1">
      <alignment wrapText="1"/>
    </xf>
    <xf numFmtId="173" fontId="10" fillId="6" borderId="88" xfId="0" applyNumberFormat="1" applyFont="1" applyFill="1" applyBorder="1" applyAlignment="1">
      <alignment horizontal="center" wrapText="1"/>
    </xf>
    <xf numFmtId="49" fontId="10" fillId="6" borderId="88" xfId="0" applyNumberFormat="1" applyFont="1" applyFill="1" applyBorder="1" applyAlignment="1">
      <alignment wrapText="1"/>
    </xf>
    <xf numFmtId="49" fontId="10" fillId="6" borderId="88" xfId="0" applyNumberFormat="1" applyFont="1" applyFill="1" applyBorder="1" applyAlignment="1">
      <alignment horizontal="center" wrapText="1"/>
    </xf>
    <xf numFmtId="49" fontId="10" fillId="6" borderId="89" xfId="0" applyNumberFormat="1" applyFont="1" applyFill="1" applyBorder="1" applyAlignment="1">
      <alignment horizontal="center" wrapText="1"/>
    </xf>
    <xf numFmtId="49" fontId="10" fillId="6" borderId="6" xfId="0" applyNumberFormat="1" applyFont="1" applyFill="1" applyBorder="1" applyAlignment="1">
      <alignment wrapText="1"/>
    </xf>
    <xf numFmtId="49" fontId="10" fillId="6" borderId="6" xfId="0" applyNumberFormat="1" applyFont="1" applyFill="1" applyBorder="1" applyAlignment="1">
      <alignment horizontal="center"/>
    </xf>
    <xf numFmtId="49" fontId="10" fillId="6" borderId="6" xfId="0" applyNumberFormat="1" applyFont="1" applyFill="1" applyBorder="1"/>
    <xf numFmtId="0" fontId="10" fillId="6" borderId="6" xfId="0" applyFont="1" applyFill="1" applyBorder="1"/>
    <xf numFmtId="49" fontId="10" fillId="12" borderId="88" xfId="0" applyNumberFormat="1" applyFont="1" applyFill="1" applyBorder="1" applyAlignment="1">
      <alignment horizontal="center" wrapText="1"/>
    </xf>
    <xf numFmtId="49" fontId="10" fillId="12" borderId="89" xfId="0" applyNumberFormat="1" applyFont="1" applyFill="1" applyBorder="1" applyAlignment="1">
      <alignment horizontal="center" wrapText="1"/>
    </xf>
    <xf numFmtId="49" fontId="10" fillId="2" borderId="6" xfId="0" applyNumberFormat="1" applyFont="1" applyFill="1" applyBorder="1" applyAlignment="1">
      <alignment horizontal="center" wrapText="1"/>
    </xf>
    <xf numFmtId="49" fontId="10" fillId="12" borderId="6" xfId="0" applyNumberFormat="1" applyFont="1" applyFill="1" applyBorder="1" applyAlignment="1">
      <alignment wrapText="1"/>
    </xf>
    <xf numFmtId="49" fontId="12" fillId="6" borderId="6" xfId="0" applyNumberFormat="1" applyFont="1" applyFill="1" applyBorder="1"/>
    <xf numFmtId="49" fontId="12" fillId="2" borderId="6" xfId="0" applyNumberFormat="1" applyFont="1" applyFill="1" applyBorder="1"/>
    <xf numFmtId="0" fontId="31" fillId="13" borderId="87" xfId="0" applyFont="1" applyFill="1" applyBorder="1" applyAlignment="1">
      <alignment wrapText="1"/>
    </xf>
    <xf numFmtId="173" fontId="10" fillId="13" borderId="88" xfId="0" applyNumberFormat="1" applyFont="1" applyFill="1" applyBorder="1" applyAlignment="1">
      <alignment horizontal="center" wrapText="1"/>
    </xf>
    <xf numFmtId="49" fontId="10" fillId="13" borderId="88" xfId="0" applyNumberFormat="1" applyFont="1" applyFill="1" applyBorder="1" applyAlignment="1">
      <alignment wrapText="1"/>
    </xf>
    <xf numFmtId="49" fontId="10" fillId="13" borderId="88" xfId="0" applyNumberFormat="1" applyFont="1" applyFill="1" applyBorder="1" applyAlignment="1">
      <alignment horizontal="center" wrapText="1"/>
    </xf>
    <xf numFmtId="49" fontId="10" fillId="13" borderId="89" xfId="0" applyNumberFormat="1" applyFont="1" applyFill="1" applyBorder="1" applyAlignment="1">
      <alignment horizontal="center" wrapText="1"/>
    </xf>
    <xf numFmtId="49" fontId="10" fillId="13" borderId="6" xfId="0" applyNumberFormat="1" applyFont="1" applyFill="1" applyBorder="1"/>
    <xf numFmtId="173" fontId="10" fillId="13" borderId="6" xfId="0" applyNumberFormat="1" applyFont="1" applyFill="1" applyBorder="1"/>
    <xf numFmtId="0" fontId="10" fillId="13" borderId="6" xfId="0" applyFont="1" applyFill="1" applyBorder="1"/>
    <xf numFmtId="0" fontId="31" fillId="10" borderId="87" xfId="0" applyFont="1" applyFill="1" applyBorder="1" applyAlignment="1">
      <alignment wrapText="1"/>
    </xf>
    <xf numFmtId="173" fontId="10" fillId="10" borderId="88" xfId="0" applyNumberFormat="1" applyFont="1" applyFill="1" applyBorder="1" applyAlignment="1">
      <alignment horizontal="center" wrapText="1"/>
    </xf>
    <xf numFmtId="49" fontId="10" fillId="10" borderId="88" xfId="0" applyNumberFormat="1" applyFont="1" applyFill="1" applyBorder="1" applyAlignment="1">
      <alignment wrapText="1"/>
    </xf>
    <xf numFmtId="49" fontId="10" fillId="10" borderId="88" xfId="0" applyNumberFormat="1" applyFont="1" applyFill="1" applyBorder="1" applyAlignment="1">
      <alignment horizontal="center" wrapText="1"/>
    </xf>
    <xf numFmtId="49" fontId="10" fillId="10" borderId="89" xfId="0" applyNumberFormat="1" applyFont="1" applyFill="1" applyBorder="1" applyAlignment="1">
      <alignment horizontal="center" wrapText="1"/>
    </xf>
    <xf numFmtId="49" fontId="10" fillId="10" borderId="6" xfId="0" applyNumberFormat="1" applyFont="1" applyFill="1" applyBorder="1" applyAlignment="1">
      <alignment horizontal="center" wrapText="1"/>
    </xf>
    <xf numFmtId="49" fontId="10" fillId="10" borderId="6" xfId="0" applyNumberFormat="1" applyFont="1" applyFill="1" applyBorder="1" applyAlignment="1">
      <alignment wrapText="1"/>
    </xf>
    <xf numFmtId="49" fontId="10" fillId="10" borderId="6" xfId="0" applyNumberFormat="1" applyFont="1" applyFill="1" applyBorder="1"/>
    <xf numFmtId="173" fontId="10" fillId="10" borderId="6" xfId="0" applyNumberFormat="1" applyFont="1" applyFill="1" applyBorder="1"/>
    <xf numFmtId="0" fontId="31" fillId="7" borderId="87" xfId="0" applyFont="1" applyFill="1" applyBorder="1" applyAlignment="1">
      <alignment wrapText="1"/>
    </xf>
    <xf numFmtId="173" fontId="10" fillId="7" borderId="88" xfId="0" applyNumberFormat="1" applyFont="1" applyFill="1" applyBorder="1" applyAlignment="1">
      <alignment horizontal="center" wrapText="1"/>
    </xf>
    <xf numFmtId="49" fontId="10" fillId="7" borderId="88" xfId="0" applyNumberFormat="1" applyFont="1" applyFill="1" applyBorder="1" applyAlignment="1">
      <alignment wrapText="1"/>
    </xf>
    <xf numFmtId="49" fontId="10" fillId="7" borderId="88" xfId="0" applyNumberFormat="1" applyFont="1" applyFill="1" applyBorder="1" applyAlignment="1">
      <alignment horizontal="center" wrapText="1"/>
    </xf>
    <xf numFmtId="49" fontId="10" fillId="7" borderId="6" xfId="0" applyNumberFormat="1" applyFont="1" applyFill="1" applyBorder="1" applyAlignment="1">
      <alignment wrapText="1"/>
    </xf>
    <xf numFmtId="173" fontId="10" fillId="7" borderId="6" xfId="0" applyNumberFormat="1" applyFont="1" applyFill="1" applyBorder="1"/>
    <xf numFmtId="0" fontId="10" fillId="7" borderId="6" xfId="0" applyFont="1" applyFill="1" applyBorder="1"/>
    <xf numFmtId="49" fontId="10" fillId="7" borderId="89" xfId="0" applyNumberFormat="1" applyFont="1" applyFill="1" applyBorder="1" applyAlignment="1">
      <alignment horizontal="center" wrapText="1"/>
    </xf>
    <xf numFmtId="0" fontId="31" fillId="12" borderId="87" xfId="0" applyFont="1" applyFill="1" applyBorder="1" applyAlignment="1">
      <alignment wrapText="1"/>
    </xf>
    <xf numFmtId="173" fontId="10" fillId="12" borderId="88" xfId="0" applyNumberFormat="1" applyFont="1" applyFill="1" applyBorder="1" applyAlignment="1">
      <alignment horizontal="center" wrapText="1"/>
    </xf>
    <xf numFmtId="49" fontId="10" fillId="12" borderId="88" xfId="0" applyNumberFormat="1" applyFont="1" applyFill="1" applyBorder="1" applyAlignment="1">
      <alignment wrapText="1"/>
    </xf>
    <xf numFmtId="49" fontId="10" fillId="12" borderId="6" xfId="0" applyNumberFormat="1" applyFont="1" applyFill="1" applyBorder="1"/>
    <xf numFmtId="173" fontId="10" fillId="12" borderId="6" xfId="0" applyNumberFormat="1" applyFont="1" applyFill="1" applyBorder="1"/>
    <xf numFmtId="0" fontId="10" fillId="12" borderId="6" xfId="0" applyFont="1" applyFill="1" applyBorder="1"/>
    <xf numFmtId="173" fontId="31" fillId="0" borderId="84" xfId="0" applyNumberFormat="1" applyFont="1" applyBorder="1" applyAlignment="1">
      <alignment wrapText="1"/>
    </xf>
    <xf numFmtId="173" fontId="18" fillId="0" borderId="84" xfId="0" applyNumberFormat="1" applyFont="1" applyBorder="1" applyAlignment="1">
      <alignment horizontal="center" wrapText="1"/>
    </xf>
    <xf numFmtId="49" fontId="31" fillId="0" borderId="84" xfId="0" applyNumberFormat="1" applyFont="1" applyBorder="1" applyAlignment="1">
      <alignment wrapText="1"/>
    </xf>
    <xf numFmtId="173" fontId="31" fillId="0" borderId="84" xfId="0" applyNumberFormat="1" applyFont="1" applyBorder="1" applyAlignment="1">
      <alignment horizontal="center" wrapText="1"/>
    </xf>
    <xf numFmtId="0" fontId="10" fillId="0" borderId="0" xfId="0" applyFont="1" applyAlignment="1">
      <alignment wrapText="1"/>
    </xf>
    <xf numFmtId="173" fontId="10" fillId="0" borderId="0" xfId="0" applyNumberFormat="1" applyFont="1" applyAlignment="1">
      <alignment horizontal="right" wrapText="1"/>
    </xf>
    <xf numFmtId="49" fontId="10" fillId="0" borderId="0" xfId="0" applyNumberFormat="1" applyFont="1" applyAlignment="1">
      <alignment horizontal="right" wrapText="1"/>
    </xf>
    <xf numFmtId="49" fontId="10" fillId="14" borderId="6" xfId="0" applyNumberFormat="1" applyFont="1" applyFill="1" applyBorder="1"/>
    <xf numFmtId="173" fontId="31" fillId="0" borderId="83" xfId="0" applyNumberFormat="1" applyFont="1" applyBorder="1" applyAlignment="1">
      <alignment wrapText="1"/>
    </xf>
    <xf numFmtId="173" fontId="31" fillId="0" borderId="83" xfId="0" applyNumberFormat="1" applyFont="1" applyBorder="1" applyAlignment="1">
      <alignment horizontal="center" wrapText="1"/>
    </xf>
    <xf numFmtId="49" fontId="10" fillId="0" borderId="83" xfId="0" applyNumberFormat="1" applyFont="1" applyBorder="1" applyAlignment="1">
      <alignment wrapText="1"/>
    </xf>
    <xf numFmtId="49" fontId="10" fillId="0" borderId="90" xfId="0" applyNumberFormat="1" applyFont="1" applyBorder="1" applyAlignment="1">
      <alignment horizontal="center" wrapText="1"/>
    </xf>
    <xf numFmtId="0" fontId="10" fillId="0" borderId="86" xfId="0" applyFont="1" applyBorder="1" applyAlignment="1">
      <alignment wrapText="1"/>
    </xf>
    <xf numFmtId="0" fontId="18" fillId="0" borderId="86" xfId="0" applyFont="1" applyBorder="1" applyAlignment="1">
      <alignment wrapText="1"/>
    </xf>
    <xf numFmtId="173" fontId="10" fillId="0" borderId="0" xfId="0" applyNumberFormat="1" applyFont="1" applyAlignment="1">
      <alignment wrapText="1"/>
    </xf>
    <xf numFmtId="173" fontId="10" fillId="10" borderId="6" xfId="0" applyNumberFormat="1" applyFont="1" applyFill="1" applyBorder="1" applyAlignment="1">
      <alignment horizontal="center" wrapText="1"/>
    </xf>
    <xf numFmtId="49" fontId="31" fillId="14" borderId="6" xfId="0" applyNumberFormat="1" applyFont="1" applyFill="1" applyBorder="1" applyAlignment="1">
      <alignment wrapText="1"/>
    </xf>
    <xf numFmtId="49" fontId="10" fillId="14" borderId="6" xfId="0" applyNumberFormat="1" applyFont="1" applyFill="1" applyBorder="1" applyAlignment="1">
      <alignment horizontal="center" wrapText="1"/>
    </xf>
    <xf numFmtId="0" fontId="31" fillId="0" borderId="0" xfId="0" applyFont="1" applyAlignment="1">
      <alignment wrapText="1"/>
    </xf>
    <xf numFmtId="173" fontId="10" fillId="0" borderId="0" xfId="0" applyNumberFormat="1" applyFont="1" applyAlignment="1">
      <alignment horizontal="center" wrapText="1"/>
    </xf>
    <xf numFmtId="0" fontId="31" fillId="10" borderId="6" xfId="0" applyFont="1" applyFill="1" applyBorder="1" applyAlignment="1">
      <alignment wrapText="1"/>
    </xf>
    <xf numFmtId="0" fontId="32" fillId="0" borderId="0" xfId="0" applyFont="1"/>
    <xf numFmtId="166" fontId="29" fillId="6" borderId="6" xfId="0" applyNumberFormat="1" applyFont="1" applyFill="1" applyBorder="1" applyAlignment="1">
      <alignment horizontal="center"/>
    </xf>
    <xf numFmtId="173" fontId="29" fillId="6" borderId="6" xfId="0" applyNumberFormat="1" applyFont="1" applyFill="1" applyBorder="1" applyAlignment="1">
      <alignment horizontal="center"/>
    </xf>
    <xf numFmtId="0" fontId="32" fillId="0" borderId="82" xfId="0" applyFont="1" applyBorder="1" applyAlignment="1">
      <alignment horizontal="left"/>
    </xf>
    <xf numFmtId="173" fontId="29" fillId="0" borderId="83" xfId="0" applyNumberFormat="1" applyFont="1" applyBorder="1" applyAlignment="1">
      <alignment horizontal="center"/>
    </xf>
    <xf numFmtId="173" fontId="29" fillId="0" borderId="0" xfId="0" applyNumberFormat="1" applyFont="1" applyAlignment="1">
      <alignment horizontal="center"/>
    </xf>
    <xf numFmtId="0" fontId="32" fillId="0" borderId="86" xfId="0" applyFont="1" applyBorder="1" applyAlignment="1">
      <alignment horizontal="left"/>
    </xf>
    <xf numFmtId="173" fontId="29" fillId="0" borderId="84" xfId="0" applyNumberFormat="1" applyFont="1" applyBorder="1" applyAlignment="1">
      <alignment horizontal="center"/>
    </xf>
    <xf numFmtId="173" fontId="29" fillId="0" borderId="84" xfId="0" applyNumberFormat="1" applyFont="1" applyBorder="1" applyAlignment="1">
      <alignment horizontal="left"/>
    </xf>
    <xf numFmtId="173" fontId="29" fillId="0" borderId="0" xfId="0" applyNumberFormat="1" applyFont="1" applyAlignment="1">
      <alignment horizontal="left"/>
    </xf>
    <xf numFmtId="166" fontId="29" fillId="0" borderId="0" xfId="0" applyNumberFormat="1" applyFont="1" applyAlignment="1">
      <alignment horizontal="center"/>
    </xf>
    <xf numFmtId="173" fontId="32" fillId="0" borderId="84" xfId="0" applyNumberFormat="1" applyFont="1" applyBorder="1" applyAlignment="1">
      <alignment horizontal="left"/>
    </xf>
    <xf numFmtId="173" fontId="32" fillId="0" borderId="0" xfId="0" applyNumberFormat="1" applyFont="1" applyAlignment="1">
      <alignment horizontal="left"/>
    </xf>
    <xf numFmtId="173" fontId="32" fillId="0" borderId="84" xfId="0" applyNumberFormat="1" applyFont="1" applyBorder="1" applyAlignment="1">
      <alignment horizontal="center"/>
    </xf>
    <xf numFmtId="173" fontId="32" fillId="0" borderId="0" xfId="0" applyNumberFormat="1" applyFont="1" applyAlignment="1">
      <alignment horizontal="center"/>
    </xf>
    <xf numFmtId="0" fontId="29" fillId="0" borderId="0" xfId="0" applyFont="1" applyAlignment="1">
      <alignment horizontal="left"/>
    </xf>
    <xf numFmtId="173" fontId="29" fillId="0" borderId="0" xfId="0" applyNumberFormat="1" applyFont="1" applyAlignment="1">
      <alignment horizontal="right"/>
    </xf>
    <xf numFmtId="173" fontId="29" fillId="0" borderId="0" xfId="0" applyNumberFormat="1" applyFont="1"/>
    <xf numFmtId="173" fontId="32" fillId="0" borderId="83" xfId="0" applyNumberFormat="1" applyFont="1" applyBorder="1" applyAlignment="1">
      <alignment horizontal="left"/>
    </xf>
    <xf numFmtId="173" fontId="32" fillId="0" borderId="83" xfId="0" applyNumberFormat="1" applyFont="1" applyBorder="1" applyAlignment="1">
      <alignment horizontal="center"/>
    </xf>
    <xf numFmtId="0" fontId="29" fillId="0" borderId="86" xfId="0" applyFont="1" applyBorder="1" applyAlignment="1">
      <alignment horizontal="left"/>
    </xf>
    <xf numFmtId="0" fontId="33" fillId="0" borderId="86" xfId="0" applyFont="1" applyBorder="1" applyAlignment="1">
      <alignment horizontal="left"/>
    </xf>
    <xf numFmtId="0" fontId="31" fillId="0" borderId="0" xfId="0" applyFont="1"/>
    <xf numFmtId="173" fontId="10" fillId="10" borderId="6" xfId="0" applyNumberFormat="1" applyFont="1" applyFill="1" applyBorder="1" applyAlignment="1">
      <alignment horizontal="center"/>
    </xf>
    <xf numFmtId="0" fontId="31" fillId="10" borderId="6" xfId="0" applyFont="1" applyFill="1" applyBorder="1"/>
    <xf numFmtId="173" fontId="31" fillId="10" borderId="6" xfId="0" applyNumberFormat="1" applyFont="1" applyFill="1" applyBorder="1"/>
    <xf numFmtId="166" fontId="31" fillId="10" borderId="6" xfId="0" applyNumberFormat="1" applyFont="1" applyFill="1" applyBorder="1"/>
    <xf numFmtId="166" fontId="10" fillId="10" borderId="6" xfId="0" applyNumberFormat="1" applyFont="1" applyFill="1" applyBorder="1" applyAlignment="1">
      <alignment horizontal="center"/>
    </xf>
    <xf numFmtId="173" fontId="10" fillId="0" borderId="0" xfId="0" applyNumberFormat="1" applyFont="1" applyAlignment="1">
      <alignment horizontal="left"/>
    </xf>
    <xf numFmtId="173" fontId="10" fillId="0" borderId="0" xfId="0" applyNumberFormat="1" applyFont="1" applyAlignment="1">
      <alignment horizontal="center"/>
    </xf>
    <xf numFmtId="166" fontId="10" fillId="0" borderId="0" xfId="0" applyNumberFormat="1" applyFont="1" applyAlignment="1">
      <alignment horizontal="center"/>
    </xf>
    <xf numFmtId="0" fontId="32" fillId="10" borderId="6" xfId="0" applyFont="1" applyFill="1" applyBorder="1"/>
    <xf numFmtId="0" fontId="34" fillId="0" borderId="0" xfId="0" applyFont="1"/>
    <xf numFmtId="165" fontId="11" fillId="3" borderId="9" xfId="0" applyNumberFormat="1" applyFont="1" applyFill="1" applyBorder="1" applyAlignment="1">
      <alignment horizontal="center" vertical="center"/>
    </xf>
    <xf numFmtId="0" fontId="4" fillId="0" borderId="10" xfId="0" applyFont="1" applyBorder="1"/>
    <xf numFmtId="165" fontId="11" fillId="0" borderId="0" xfId="0" applyNumberFormat="1" applyFont="1" applyAlignment="1">
      <alignment horizontal="center" vertical="center"/>
    </xf>
    <xf numFmtId="0" fontId="4" fillId="0" borderId="7" xfId="0" applyFont="1" applyBorder="1"/>
    <xf numFmtId="165" fontId="11" fillId="0" borderId="29" xfId="0" applyNumberFormat="1" applyFont="1" applyBorder="1" applyAlignment="1">
      <alignment vertical="center"/>
    </xf>
    <xf numFmtId="0" fontId="4" fillId="0" borderId="30" xfId="0" applyFont="1" applyBorder="1"/>
    <xf numFmtId="165" fontId="11" fillId="3" borderId="9" xfId="0" applyNumberFormat="1" applyFont="1" applyFill="1" applyBorder="1" applyAlignment="1">
      <alignment vertical="center"/>
    </xf>
    <xf numFmtId="0" fontId="11" fillId="0" borderId="0" xfId="0" applyFont="1" applyAlignment="1">
      <alignment horizontal="center" vertical="center"/>
    </xf>
    <xf numFmtId="0" fontId="0" fillId="0" borderId="0" xfId="0"/>
    <xf numFmtId="0" fontId="11" fillId="3" borderId="9" xfId="0" applyFont="1" applyFill="1" applyBorder="1" applyAlignment="1">
      <alignment horizontal="center" vertical="center"/>
    </xf>
    <xf numFmtId="0" fontId="4" fillId="0" borderId="34" xfId="0" applyFont="1" applyBorder="1"/>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164" fontId="5" fillId="0" borderId="1"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9" fillId="0" borderId="1" xfId="0" applyFont="1" applyBorder="1" applyAlignment="1">
      <alignment horizontal="center" vertical="center" wrapText="1"/>
    </xf>
    <xf numFmtId="165" fontId="11" fillId="0" borderId="0" xfId="0" applyNumberFormat="1" applyFont="1" applyAlignment="1">
      <alignment horizontal="center"/>
    </xf>
    <xf numFmtId="165" fontId="11" fillId="3" borderId="9" xfId="0" applyNumberFormat="1" applyFont="1" applyFill="1" applyBorder="1" applyAlignment="1">
      <alignment horizontal="center"/>
    </xf>
    <xf numFmtId="165" fontId="11" fillId="0" borderId="11" xfId="0" applyNumberFormat="1" applyFont="1" applyBorder="1" applyAlignment="1">
      <alignment horizontal="center"/>
    </xf>
    <xf numFmtId="0" fontId="4" fillId="0" borderId="12" xfId="0" applyFont="1" applyBorder="1"/>
    <xf numFmtId="168" fontId="17" fillId="0" borderId="29" xfId="0" applyNumberFormat="1" applyFont="1" applyBorder="1" applyAlignment="1">
      <alignment horizontal="center" vertical="center" wrapText="1"/>
    </xf>
    <xf numFmtId="14" fontId="13" fillId="0" borderId="13" xfId="0" applyNumberFormat="1" applyFont="1" applyBorder="1" applyAlignment="1">
      <alignment horizontal="center" vertical="center"/>
    </xf>
    <xf numFmtId="0" fontId="4" fillId="0" borderId="14" xfId="0" applyFont="1" applyBorder="1"/>
    <xf numFmtId="0" fontId="4" fillId="0" borderId="15" xfId="0" applyFont="1" applyBorder="1"/>
    <xf numFmtId="14" fontId="13" fillId="0" borderId="18" xfId="0" applyNumberFormat="1" applyFont="1" applyBorder="1" applyAlignment="1">
      <alignment horizontal="center" vertical="center"/>
    </xf>
    <xf numFmtId="0" fontId="4" fillId="0" borderId="19" xfId="0" applyFont="1" applyBorder="1"/>
    <xf numFmtId="0" fontId="4" fillId="0" borderId="20" xfId="0" applyFont="1" applyBorder="1"/>
    <xf numFmtId="14" fontId="13" fillId="0" borderId="23" xfId="0" applyNumberFormat="1" applyFont="1" applyBorder="1" applyAlignment="1">
      <alignment horizontal="center" vertical="center"/>
    </xf>
    <xf numFmtId="0" fontId="4" fillId="0" borderId="24" xfId="0" applyFont="1" applyBorder="1"/>
    <xf numFmtId="0" fontId="4" fillId="0" borderId="25" xfId="0" applyFont="1" applyBorder="1"/>
    <xf numFmtId="167" fontId="15" fillId="0" borderId="0" xfId="0" applyNumberFormat="1" applyFont="1" applyAlignment="1">
      <alignment horizontal="center"/>
    </xf>
    <xf numFmtId="14" fontId="17" fillId="0" borderId="28" xfId="0" applyNumberFormat="1" applyFont="1" applyBorder="1" applyAlignment="1">
      <alignment horizontal="center" vertical="center" wrapText="1"/>
    </xf>
    <xf numFmtId="0" fontId="4" fillId="0" borderId="5" xfId="0" applyFont="1" applyBorder="1"/>
    <xf numFmtId="165" fontId="17" fillId="0" borderId="29" xfId="0" applyNumberFormat="1" applyFont="1" applyBorder="1" applyAlignment="1">
      <alignment horizontal="center" vertical="center" wrapText="1"/>
    </xf>
    <xf numFmtId="14" fontId="10" fillId="0" borderId="5" xfId="0" applyNumberFormat="1" applyFont="1" applyBorder="1" applyAlignment="1">
      <alignment horizontal="left" vertical="center" wrapText="1"/>
    </xf>
    <xf numFmtId="0" fontId="4" fillId="0" borderId="31" xfId="0" applyFont="1" applyBorder="1"/>
    <xf numFmtId="0" fontId="4" fillId="0" borderId="11" xfId="0" applyFont="1" applyBorder="1"/>
    <xf numFmtId="14" fontId="18" fillId="0" borderId="28" xfId="0" applyNumberFormat="1" applyFont="1" applyBorder="1" applyAlignment="1">
      <alignment horizontal="left" vertical="top" wrapText="1"/>
    </xf>
    <xf numFmtId="0" fontId="4" fillId="0" borderId="29" xfId="0" applyFont="1" applyBorder="1"/>
    <xf numFmtId="49" fontId="15" fillId="0" borderId="0" xfId="0" applyNumberFormat="1" applyFont="1" applyAlignment="1">
      <alignment horizontal="left" vertical="center" wrapText="1"/>
    </xf>
    <xf numFmtId="14" fontId="8" fillId="0" borderId="32" xfId="0" applyNumberFormat="1" applyFont="1" applyBorder="1" applyAlignment="1">
      <alignment horizontal="center" vertical="center"/>
    </xf>
    <xf numFmtId="0" fontId="4" fillId="0" borderId="33" xfId="0" applyFont="1" applyBorder="1"/>
    <xf numFmtId="0" fontId="13" fillId="0" borderId="28" xfId="0" applyFont="1" applyBorder="1" applyAlignment="1">
      <alignment horizontal="center" vertical="center" wrapText="1"/>
    </xf>
    <xf numFmtId="169" fontId="13" fillId="0" borderId="31" xfId="0" applyNumberFormat="1" applyFont="1" applyBorder="1" applyAlignment="1">
      <alignment horizontal="center" vertical="center"/>
    </xf>
    <xf numFmtId="0" fontId="8" fillId="0" borderId="28" xfId="0" applyFont="1" applyBorder="1" applyAlignment="1">
      <alignment horizontal="center" vertical="center"/>
    </xf>
    <xf numFmtId="165" fontId="23" fillId="0" borderId="50" xfId="0" applyNumberFormat="1" applyFont="1" applyBorder="1" applyAlignment="1">
      <alignment vertical="center"/>
    </xf>
    <xf numFmtId="0" fontId="4" fillId="0" borderId="57" xfId="0" applyFont="1" applyBorder="1"/>
    <xf numFmtId="0" fontId="4" fillId="0" borderId="54" xfId="0" applyFont="1" applyBorder="1"/>
    <xf numFmtId="0" fontId="4" fillId="0" borderId="58" xfId="0" applyFont="1" applyBorder="1"/>
    <xf numFmtId="172" fontId="23" fillId="0" borderId="52" xfId="0" applyNumberFormat="1" applyFont="1" applyBorder="1" applyAlignment="1">
      <alignment horizontal="left" vertical="top" wrapText="1"/>
    </xf>
    <xf numFmtId="0" fontId="4" fillId="0" borderId="50" xfId="0" applyFont="1" applyBorder="1"/>
    <xf numFmtId="49" fontId="25" fillId="0" borderId="60" xfId="0" applyNumberFormat="1" applyFont="1" applyBorder="1" applyAlignment="1">
      <alignment horizontal="left" vertical="center" wrapText="1"/>
    </xf>
    <xf numFmtId="0" fontId="4" fillId="0" borderId="48" xfId="0" applyFont="1" applyBorder="1"/>
    <xf numFmtId="0" fontId="4" fillId="0" borderId="60" xfId="0" applyFont="1" applyBorder="1"/>
    <xf numFmtId="0" fontId="4" fillId="0" borderId="56" xfId="0" applyFont="1" applyBorder="1"/>
    <xf numFmtId="0" fontId="10" fillId="4" borderId="35" xfId="0" applyFont="1" applyFill="1" applyBorder="1" applyAlignment="1">
      <alignment horizontal="center"/>
    </xf>
    <xf numFmtId="0" fontId="4" fillId="0" borderId="36" xfId="0" applyFont="1" applyBorder="1"/>
    <xf numFmtId="0" fontId="4" fillId="0" borderId="37" xfId="0" applyFont="1" applyBorder="1"/>
    <xf numFmtId="0" fontId="10" fillId="5" borderId="38" xfId="0" applyFont="1" applyFill="1" applyBorder="1"/>
    <xf numFmtId="0" fontId="4" fillId="0" borderId="39" xfId="0" applyFont="1" applyBorder="1"/>
    <xf numFmtId="0" fontId="4" fillId="0" borderId="40" xfId="0" applyFont="1" applyBorder="1"/>
    <xf numFmtId="0" fontId="4" fillId="0" borderId="41" xfId="0" applyFont="1" applyBorder="1"/>
    <xf numFmtId="0" fontId="4" fillId="0" borderId="42" xfId="0" applyFont="1" applyBorder="1"/>
    <xf numFmtId="0" fontId="4" fillId="0" borderId="43" xfId="0" applyFont="1" applyBorder="1"/>
    <xf numFmtId="0" fontId="22" fillId="4" borderId="44" xfId="0" applyFont="1" applyFill="1" applyBorder="1"/>
    <xf numFmtId="0" fontId="4" fillId="0" borderId="45" xfId="0" applyFont="1" applyBorder="1"/>
    <xf numFmtId="0" fontId="4" fillId="0" borderId="46" xfId="0" applyFont="1" applyBorder="1"/>
    <xf numFmtId="0" fontId="4" fillId="0" borderId="47" xfId="0" applyFont="1" applyBorder="1"/>
    <xf numFmtId="0" fontId="23" fillId="0" borderId="47" xfId="0" applyFont="1" applyBorder="1"/>
    <xf numFmtId="0" fontId="23" fillId="0" borderId="0" xfId="0" applyFont="1" applyAlignment="1">
      <alignment horizontal="left"/>
    </xf>
    <xf numFmtId="170" fontId="23" fillId="0" borderId="47" xfId="0" applyNumberFormat="1" applyFont="1" applyBorder="1" applyAlignment="1">
      <alignment horizontal="left" vertical="top"/>
    </xf>
    <xf numFmtId="0" fontId="23" fillId="0" borderId="49" xfId="0" applyFont="1" applyBorder="1" applyAlignment="1">
      <alignment vertical="center"/>
    </xf>
    <xf numFmtId="0" fontId="4" fillId="0" borderId="53" xfId="0" applyFont="1" applyBorder="1"/>
    <xf numFmtId="0" fontId="25" fillId="0" borderId="50" xfId="0" applyFont="1" applyBorder="1" applyAlignment="1">
      <alignment vertical="center"/>
    </xf>
    <xf numFmtId="0" fontId="4" fillId="0" borderId="51" xfId="0" applyFont="1" applyBorder="1"/>
    <xf numFmtId="0" fontId="4" fillId="0" borderId="55" xfId="0" applyFont="1" applyBorder="1"/>
    <xf numFmtId="0" fontId="23" fillId="0" borderId="52" xfId="0" applyFont="1" applyBorder="1" applyAlignment="1">
      <alignment vertical="center"/>
    </xf>
    <xf numFmtId="49" fontId="26" fillId="0" borderId="50" xfId="0" applyNumberFormat="1" applyFont="1" applyBorder="1" applyAlignment="1">
      <alignment horizontal="center" vertical="center" wrapText="1"/>
    </xf>
    <xf numFmtId="0" fontId="4" fillId="0" borderId="59" xfId="0" applyFont="1" applyBorder="1"/>
    <xf numFmtId="0" fontId="27" fillId="5" borderId="44" xfId="0" applyFont="1" applyFill="1" applyBorder="1" applyAlignment="1">
      <alignment horizontal="right" vertical="center"/>
    </xf>
    <xf numFmtId="0" fontId="4" fillId="0" borderId="61" xfId="0" applyFont="1" applyBorder="1"/>
    <xf numFmtId="0" fontId="4" fillId="0" borderId="62" xfId="0" applyFont="1" applyBorder="1"/>
    <xf numFmtId="0" fontId="4" fillId="0" borderId="63" xfId="0" applyFont="1" applyBorder="1"/>
    <xf numFmtId="0" fontId="26" fillId="0" borderId="50" xfId="0" applyFont="1" applyBorder="1" applyAlignment="1">
      <alignment horizontal="center" vertical="center" wrapText="1"/>
    </xf>
    <xf numFmtId="173" fontId="26" fillId="0" borderId="50" xfId="0" applyNumberFormat="1" applyFont="1" applyBorder="1" applyAlignment="1">
      <alignment horizontal="center" vertical="center" wrapText="1"/>
    </xf>
    <xf numFmtId="49" fontId="18" fillId="4" borderId="71" xfId="0" applyNumberFormat="1" applyFont="1" applyFill="1" applyBorder="1" applyAlignment="1">
      <alignment horizontal="left" vertical="top" wrapText="1"/>
    </xf>
    <xf numFmtId="0" fontId="4" fillId="0" borderId="73" xfId="0" applyFont="1" applyBorder="1"/>
    <xf numFmtId="0" fontId="4" fillId="0" borderId="75" xfId="0" applyFont="1" applyBorder="1"/>
    <xf numFmtId="0" fontId="18" fillId="4" borderId="9" xfId="0" applyFont="1" applyFill="1" applyBorder="1" applyAlignment="1">
      <alignment vertical="center" wrapText="1"/>
    </xf>
    <xf numFmtId="0" fontId="4" fillId="0" borderId="68" xfId="0" applyFont="1" applyBorder="1"/>
    <xf numFmtId="164" fontId="18" fillId="4" borderId="9" xfId="0" applyNumberFormat="1" applyFont="1" applyFill="1" applyBorder="1" applyAlignment="1">
      <alignment horizontal="left" vertical="center"/>
    </xf>
    <xf numFmtId="0" fontId="10" fillId="4" borderId="9" xfId="0" applyFont="1" applyFill="1" applyBorder="1" applyAlignment="1">
      <alignment horizontal="left" vertical="center" wrapText="1"/>
    </xf>
    <xf numFmtId="0" fontId="10" fillId="4" borderId="9" xfId="0" applyFont="1" applyFill="1" applyBorder="1" applyAlignment="1">
      <alignment horizontal="center" vertical="center" wrapText="1"/>
    </xf>
    <xf numFmtId="166" fontId="18" fillId="4" borderId="9" xfId="0" applyNumberFormat="1" applyFont="1" applyFill="1" applyBorder="1" applyAlignment="1">
      <alignment horizontal="left" vertical="center"/>
    </xf>
    <xf numFmtId="0" fontId="18" fillId="4" borderId="9" xfId="0" applyFont="1" applyFill="1" applyBorder="1" applyAlignment="1">
      <alignment horizontal="left" vertical="center"/>
    </xf>
    <xf numFmtId="0" fontId="9" fillId="4" borderId="70" xfId="0" applyFont="1" applyFill="1" applyBorder="1" applyAlignment="1">
      <alignment horizontal="left" vertical="top"/>
    </xf>
    <xf numFmtId="0" fontId="4" fillId="0" borderId="72" xfId="0" applyFont="1" applyBorder="1"/>
    <xf numFmtId="0" fontId="4" fillId="0" borderId="74" xfId="0" applyFont="1" applyBorder="1"/>
    <xf numFmtId="0" fontId="29" fillId="2" borderId="9" xfId="0" applyFont="1" applyFill="1" applyBorder="1" applyAlignment="1">
      <alignment horizontal="left" vertical="center" wrapText="1"/>
    </xf>
    <xf numFmtId="0" fontId="18" fillId="4" borderId="71" xfId="0" applyFont="1" applyFill="1" applyBorder="1" applyAlignment="1">
      <alignment horizontal="left" vertical="top" wrapText="1"/>
    </xf>
    <xf numFmtId="0" fontId="23" fillId="0" borderId="52" xfId="0" applyFont="1" applyBorder="1" applyAlignment="1">
      <alignment horizontal="left" vertical="top" wrapText="1"/>
    </xf>
    <xf numFmtId="174" fontId="26" fillId="0" borderId="60" xfId="0" applyNumberFormat="1" applyFont="1" applyBorder="1" applyAlignment="1">
      <alignment horizontal="left" vertical="top" wrapText="1"/>
    </xf>
    <xf numFmtId="0" fontId="4" fillId="0" borderId="64" xfId="0" applyFont="1" applyBorder="1"/>
    <xf numFmtId="0" fontId="4" fillId="0" borderId="65" xfId="0" applyFont="1" applyBorder="1"/>
    <xf numFmtId="0" fontId="4" fillId="0" borderId="66" xfId="0" applyFont="1" applyBorder="1"/>
    <xf numFmtId="0" fontId="26" fillId="0" borderId="50" xfId="0" applyFont="1" applyBorder="1" applyAlignment="1">
      <alignment vertical="center" wrapText="1"/>
    </xf>
    <xf numFmtId="0" fontId="30" fillId="0" borderId="0" xfId="0" applyFont="1" applyAlignment="1">
      <alignment horizontal="center" wrapText="1"/>
    </xf>
    <xf numFmtId="0" fontId="10" fillId="0" borderId="0" xfId="0" applyFont="1" applyAlignment="1">
      <alignment horizontal="left" wrapText="1"/>
    </xf>
    <xf numFmtId="49" fontId="10" fillId="10" borderId="9" xfId="0" applyNumberFormat="1" applyFont="1" applyFill="1" applyBorder="1" applyAlignment="1">
      <alignment wrapText="1"/>
    </xf>
    <xf numFmtId="173" fontId="10" fillId="10" borderId="9" xfId="0" applyNumberFormat="1" applyFont="1" applyFill="1" applyBorder="1" applyAlignment="1">
      <alignment horizontal="center" wrapText="1"/>
    </xf>
    <xf numFmtId="49" fontId="10" fillId="10" borderId="9" xfId="0" applyNumberFormat="1" applyFont="1" applyFill="1" applyBorder="1" applyAlignment="1">
      <alignment horizontal="center" wrapText="1"/>
    </xf>
    <xf numFmtId="166" fontId="29" fillId="6" borderId="9" xfId="0" applyNumberFormat="1" applyFont="1" applyFill="1" applyBorder="1" applyAlignment="1">
      <alignment horizontal="center"/>
    </xf>
    <xf numFmtId="0" fontId="29" fillId="6" borderId="9" xfId="0" applyFont="1" applyFill="1" applyBorder="1" applyAlignment="1">
      <alignment horizontal="center"/>
    </xf>
  </cellXfs>
  <cellStyles count="1">
    <cellStyle name="Normal" xfId="0" builtinId="0"/>
  </cellStyles>
  <dxfs count="16">
    <dxf>
      <fill>
        <patternFill patternType="solid">
          <fgColor rgb="FFB7E1CD"/>
          <bgColor rgb="FFB7E1CD"/>
        </patternFill>
      </fill>
    </dxf>
    <dxf>
      <fill>
        <patternFill patternType="solid">
          <fgColor rgb="FFCFE2F3"/>
          <bgColor rgb="FFCFE2F3"/>
        </patternFill>
      </fill>
    </dxf>
    <dxf>
      <fill>
        <patternFill patternType="solid">
          <fgColor rgb="FFFF9900"/>
          <bgColor rgb="FFFF9900"/>
        </patternFill>
      </fill>
    </dxf>
    <dxf>
      <fill>
        <patternFill patternType="solid">
          <fgColor rgb="FFB6D7A8"/>
          <bgColor rgb="FFB6D7A8"/>
        </patternFill>
      </fill>
    </dxf>
    <dxf>
      <fill>
        <patternFill patternType="solid">
          <fgColor rgb="FFFFE599"/>
          <bgColor rgb="FFFFE599"/>
        </patternFill>
      </fill>
    </dxf>
    <dxf>
      <fill>
        <patternFill patternType="solid">
          <fgColor rgb="FF9FC5E8"/>
          <bgColor rgb="FF9FC5E8"/>
        </patternFill>
      </fill>
    </dxf>
    <dxf>
      <fill>
        <patternFill patternType="solid">
          <fgColor rgb="FFE06666"/>
          <bgColor rgb="FFE06666"/>
        </patternFill>
      </fill>
    </dxf>
    <dxf>
      <fill>
        <patternFill patternType="solid">
          <fgColor rgb="FFB7E1CD"/>
          <bgColor rgb="FFB7E1CD"/>
        </patternFill>
      </fill>
    </dxf>
    <dxf>
      <fill>
        <patternFill patternType="solid">
          <fgColor rgb="FFE06666"/>
          <bgColor rgb="FFE06666"/>
        </patternFill>
      </fill>
    </dxf>
    <dxf>
      <fill>
        <patternFill patternType="solid">
          <fgColor rgb="FFB7E1CD"/>
          <bgColor rgb="FFB7E1CD"/>
        </patternFill>
      </fill>
    </dxf>
    <dxf>
      <fill>
        <patternFill patternType="solid">
          <fgColor rgb="FFFFE599"/>
          <bgColor rgb="FFFFE599"/>
        </patternFill>
      </fill>
    </dxf>
    <dxf>
      <fill>
        <patternFill patternType="solid">
          <fgColor rgb="FF9FC5E8"/>
          <bgColor rgb="FF9FC5E8"/>
        </patternFill>
      </fill>
    </dxf>
    <dxf>
      <fill>
        <patternFill patternType="solid">
          <fgColor rgb="FFFF9900"/>
          <bgColor rgb="FFFF9900"/>
        </patternFill>
      </fill>
    </dxf>
    <dxf>
      <fill>
        <patternFill patternType="solid">
          <fgColor rgb="FFB6D7A8"/>
          <bgColor rgb="FFB6D7A8"/>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8</xdr:col>
      <xdr:colOff>638175</xdr:colOff>
      <xdr:row>23</xdr:row>
      <xdr:rowOff>19050</xdr:rowOff>
    </xdr:from>
    <xdr:ext cx="333375" cy="2952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695325</xdr:colOff>
      <xdr:row>4</xdr:row>
      <xdr:rowOff>123825</xdr:rowOff>
    </xdr:from>
    <xdr:ext cx="1362075" cy="1409700"/>
    <xdr:pic>
      <xdr:nvPicPr>
        <xdr:cNvPr id="3" name="image1.jpg" descr="Logotipo&#10;&#10;Descrição gerada automaticamente"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695325</xdr:colOff>
      <xdr:row>29</xdr:row>
      <xdr:rowOff>133350</xdr:rowOff>
    </xdr:from>
    <xdr:ext cx="1362075" cy="1409700"/>
    <xdr:pic>
      <xdr:nvPicPr>
        <xdr:cNvPr id="4" name="image1.jp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638175</xdr:colOff>
      <xdr:row>48</xdr:row>
      <xdr:rowOff>28575</xdr:rowOff>
    </xdr:from>
    <xdr:ext cx="333375" cy="295275"/>
    <xdr:pic>
      <xdr:nvPicPr>
        <xdr:cNvPr id="5" name="image2.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76200</xdr:colOff>
      <xdr:row>25</xdr:row>
      <xdr:rowOff>47625</xdr:rowOff>
    </xdr:from>
    <xdr:ext cx="2428875" cy="2581275"/>
    <xdr:pic>
      <xdr:nvPicPr>
        <xdr:cNvPr id="2" name="image1.jpg" descr="Logotipo&#10;&#10;Descrição gerada automaticament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44</xdr:row>
      <xdr:rowOff>47625</xdr:rowOff>
    </xdr:from>
    <xdr:ext cx="2428875" cy="2581275"/>
    <xdr:pic>
      <xdr:nvPicPr>
        <xdr:cNvPr id="3" name="image1.jpg" descr="Logotipo&#10;&#10;Descrição gerada automaticament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63</xdr:row>
      <xdr:rowOff>47625</xdr:rowOff>
    </xdr:from>
    <xdr:ext cx="2428875" cy="2581275"/>
    <xdr:pic>
      <xdr:nvPicPr>
        <xdr:cNvPr id="4" name="image1.jpg" descr="Logotipo&#10;&#10;Descrição gerada automaticament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82</xdr:row>
      <xdr:rowOff>47625</xdr:rowOff>
    </xdr:from>
    <xdr:ext cx="2428875" cy="2581275"/>
    <xdr:pic>
      <xdr:nvPicPr>
        <xdr:cNvPr id="5" name="image1.jpg" descr="Logotipo&#10;&#10;Descrição gerada automaticament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101</xdr:row>
      <xdr:rowOff>47625</xdr:rowOff>
    </xdr:from>
    <xdr:ext cx="2428875" cy="2581275"/>
    <xdr:pic>
      <xdr:nvPicPr>
        <xdr:cNvPr id="6" name="image1.jpg" descr="Logotipo&#10;&#10;Descrição gerada automaticament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120</xdr:row>
      <xdr:rowOff>47625</xdr:rowOff>
    </xdr:from>
    <xdr:ext cx="2428875" cy="2581275"/>
    <xdr:pic>
      <xdr:nvPicPr>
        <xdr:cNvPr id="7" name="image1.jpg" descr="Logotipo&#10;&#10;Descrição gerada automaticament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139</xdr:row>
      <xdr:rowOff>47625</xdr:rowOff>
    </xdr:from>
    <xdr:ext cx="2428875" cy="2581275"/>
    <xdr:pic>
      <xdr:nvPicPr>
        <xdr:cNvPr id="8" name="image1.jpg" descr="Logotipo&#10;&#10;Descrição gerada automaticamente">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158</xdr:row>
      <xdr:rowOff>47625</xdr:rowOff>
    </xdr:from>
    <xdr:ext cx="2428875" cy="2581275"/>
    <xdr:pic>
      <xdr:nvPicPr>
        <xdr:cNvPr id="9" name="image1.jpg" descr="Logotipo&#10;&#10;Descrição gerada automaticament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177</xdr:row>
      <xdr:rowOff>47625</xdr:rowOff>
    </xdr:from>
    <xdr:ext cx="2428875" cy="2581275"/>
    <xdr:pic>
      <xdr:nvPicPr>
        <xdr:cNvPr id="10" name="image1.jpg" descr="Logotipo&#10;&#10;Descrição gerada automaticament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25</xdr:row>
      <xdr:rowOff>47625</xdr:rowOff>
    </xdr:from>
    <xdr:ext cx="2428875" cy="2581275"/>
    <xdr:pic>
      <xdr:nvPicPr>
        <xdr:cNvPr id="11" name="image1.jpg" descr="Logotipo&#10;&#10;Descrição gerada automaticament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44</xdr:row>
      <xdr:rowOff>47625</xdr:rowOff>
    </xdr:from>
    <xdr:ext cx="2428875" cy="2581275"/>
    <xdr:pic>
      <xdr:nvPicPr>
        <xdr:cNvPr id="12" name="image1.jpg" descr="Logotipo&#10;&#10;Descrição gerada automaticament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63</xdr:row>
      <xdr:rowOff>47625</xdr:rowOff>
    </xdr:from>
    <xdr:ext cx="2428875" cy="2581275"/>
    <xdr:pic>
      <xdr:nvPicPr>
        <xdr:cNvPr id="13" name="image1.jpg" descr="Logotipo&#10;&#10;Descrição gerada automaticamente">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82</xdr:row>
      <xdr:rowOff>47625</xdr:rowOff>
    </xdr:from>
    <xdr:ext cx="2428875" cy="2581275"/>
    <xdr:pic>
      <xdr:nvPicPr>
        <xdr:cNvPr id="14" name="image1.jpg" descr="Logotipo&#10;&#10;Descrição gerada automaticament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101</xdr:row>
      <xdr:rowOff>47625</xdr:rowOff>
    </xdr:from>
    <xdr:ext cx="2428875" cy="2581275"/>
    <xdr:pic>
      <xdr:nvPicPr>
        <xdr:cNvPr id="15" name="image1.jpg" descr="Logotipo&#10;&#10;Descrição gerada automaticamente">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120</xdr:row>
      <xdr:rowOff>47625</xdr:rowOff>
    </xdr:from>
    <xdr:ext cx="2428875" cy="2581275"/>
    <xdr:pic>
      <xdr:nvPicPr>
        <xdr:cNvPr id="16" name="image1.jpg" descr="Logotipo&#10;&#10;Descrição gerada automaticamente">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139</xdr:row>
      <xdr:rowOff>47625</xdr:rowOff>
    </xdr:from>
    <xdr:ext cx="2428875" cy="2581275"/>
    <xdr:pic>
      <xdr:nvPicPr>
        <xdr:cNvPr id="17" name="image1.jpg" descr="Logotipo&#10;&#10;Descrição gerada automaticamente">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158</xdr:row>
      <xdr:rowOff>47625</xdr:rowOff>
    </xdr:from>
    <xdr:ext cx="2428875" cy="2581275"/>
    <xdr:pic>
      <xdr:nvPicPr>
        <xdr:cNvPr id="18" name="image1.jpg" descr="Logotipo&#10;&#10;Descrição gerada automaticamente">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177</xdr:row>
      <xdr:rowOff>47625</xdr:rowOff>
    </xdr:from>
    <xdr:ext cx="2428875" cy="2581275"/>
    <xdr:pic>
      <xdr:nvPicPr>
        <xdr:cNvPr id="19" name="image1.jpg" descr="Logotipo&#10;&#10;Descrição gerada automaticamente">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Z1000"/>
  <sheetViews>
    <sheetView tabSelected="1" workbookViewId="0"/>
  </sheetViews>
  <sheetFormatPr baseColWidth="10" defaultColWidth="14.42578125" defaultRowHeight="15" customHeight="1" x14ac:dyDescent="0.25"/>
  <cols>
    <col min="1" max="1" width="26.85546875" customWidth="1"/>
    <col min="2" max="2" width="58.28515625" customWidth="1"/>
    <col min="3" max="3" width="24.7109375" customWidth="1"/>
    <col min="4" max="4" width="25" customWidth="1"/>
    <col min="5" max="5" width="7.42578125" customWidth="1"/>
    <col min="6" max="6" width="14.42578125" customWidth="1"/>
    <col min="18" max="25" width="10.7109375" customWidth="1"/>
  </cols>
  <sheetData>
    <row r="1" spans="1:26" ht="48" customHeight="1" x14ac:dyDescent="0.25">
      <c r="A1" s="1"/>
      <c r="B1" s="1"/>
      <c r="C1" s="1"/>
      <c r="D1" s="2"/>
      <c r="E1" s="2"/>
    </row>
    <row r="2" spans="1:26" ht="48" customHeight="1" x14ac:dyDescent="0.25">
      <c r="A2" s="224"/>
      <c r="B2" s="225"/>
      <c r="C2" s="226"/>
      <c r="D2" s="227">
        <v>2</v>
      </c>
      <c r="E2" s="226"/>
    </row>
    <row r="3" spans="1:26" ht="27.75" customHeight="1" x14ac:dyDescent="0.25">
      <c r="A3" s="3" t="s">
        <v>0</v>
      </c>
      <c r="B3" s="228"/>
      <c r="C3" s="225"/>
      <c r="D3" s="225"/>
      <c r="E3" s="226"/>
    </row>
    <row r="4" spans="1:26" ht="28.5" customHeight="1" x14ac:dyDescent="0.25">
      <c r="A4" s="4" t="s">
        <v>1</v>
      </c>
      <c r="B4" s="5" t="s">
        <v>2</v>
      </c>
      <c r="C4" s="6" t="s">
        <v>3</v>
      </c>
      <c r="D4" s="229" t="s">
        <v>4</v>
      </c>
      <c r="E4" s="226"/>
      <c r="R4" s="7"/>
      <c r="S4" s="7"/>
      <c r="T4" s="7"/>
      <c r="U4" s="7"/>
      <c r="V4" s="7"/>
      <c r="W4" s="7"/>
      <c r="X4" s="7"/>
      <c r="Y4" s="7"/>
      <c r="Z4" s="7"/>
    </row>
    <row r="5" spans="1:26" ht="15.75" customHeight="1" x14ac:dyDescent="0.3">
      <c r="A5" s="8">
        <v>45781</v>
      </c>
      <c r="B5" s="9" t="s">
        <v>5</v>
      </c>
      <c r="C5" s="10">
        <f>VLOOKUP(B5,'TARIFAS '!$A$3:$N$239,2,FALSE)</f>
        <v>180000</v>
      </c>
      <c r="D5" s="230">
        <f t="shared" ref="D5:D21" si="0">+C5*$D$2</f>
        <v>360000</v>
      </c>
      <c r="E5" s="216"/>
      <c r="F5" s="11"/>
      <c r="G5" s="11"/>
      <c r="H5" s="11"/>
      <c r="I5" s="11"/>
      <c r="J5" s="11"/>
      <c r="K5" s="11"/>
      <c r="L5" s="11"/>
      <c r="M5" s="11"/>
      <c r="N5" s="11"/>
      <c r="O5" s="11"/>
      <c r="P5" s="11"/>
      <c r="Q5" s="11"/>
      <c r="R5" s="11"/>
      <c r="S5" s="11"/>
      <c r="T5" s="11"/>
      <c r="U5" s="11"/>
      <c r="V5" s="11"/>
      <c r="W5" s="11"/>
      <c r="X5" s="11"/>
      <c r="Y5" s="11"/>
      <c r="Z5" s="11"/>
    </row>
    <row r="6" spans="1:26" ht="15.75" customHeight="1" x14ac:dyDescent="0.3">
      <c r="A6" s="12">
        <v>45782</v>
      </c>
      <c r="B6" s="13" t="s">
        <v>6</v>
      </c>
      <c r="C6" s="14">
        <f>VLOOKUP(B6,'TARIFAS '!$A$3:$N$239,2,FALSE)</f>
        <v>350000</v>
      </c>
      <c r="D6" s="231">
        <f t="shared" si="0"/>
        <v>700000</v>
      </c>
      <c r="E6" s="214"/>
      <c r="F6" s="11"/>
      <c r="G6" s="11"/>
      <c r="H6" s="11"/>
      <c r="I6" s="11"/>
      <c r="J6" s="11"/>
      <c r="K6" s="11"/>
      <c r="L6" s="11"/>
      <c r="M6" s="11"/>
      <c r="N6" s="11"/>
      <c r="O6" s="11"/>
      <c r="P6" s="11"/>
      <c r="Q6" s="11"/>
      <c r="R6" s="11"/>
      <c r="S6" s="11"/>
      <c r="T6" s="11"/>
      <c r="U6" s="11"/>
      <c r="V6" s="11"/>
      <c r="W6" s="11"/>
      <c r="X6" s="11"/>
      <c r="Y6" s="11"/>
      <c r="Z6" s="11"/>
    </row>
    <row r="7" spans="1:26" ht="15.75" customHeight="1" x14ac:dyDescent="0.3">
      <c r="A7" s="8">
        <v>45784</v>
      </c>
      <c r="B7" s="15" t="s">
        <v>7</v>
      </c>
      <c r="C7" s="10">
        <f>VLOOKUP(B7,'TARIFAS '!$A$3:$N$239,2,FALSE)</f>
        <v>390000</v>
      </c>
      <c r="D7" s="230">
        <f t="shared" si="0"/>
        <v>780000</v>
      </c>
      <c r="E7" s="216"/>
      <c r="F7" s="11"/>
      <c r="G7" s="11"/>
      <c r="H7" s="11"/>
      <c r="I7" s="11"/>
      <c r="J7" s="11"/>
      <c r="K7" s="11"/>
      <c r="L7" s="11"/>
      <c r="M7" s="11"/>
      <c r="N7" s="11"/>
      <c r="O7" s="11"/>
      <c r="P7" s="11"/>
      <c r="Q7" s="11"/>
      <c r="R7" s="11"/>
      <c r="S7" s="11"/>
      <c r="T7" s="11"/>
      <c r="U7" s="11"/>
      <c r="V7" s="11"/>
      <c r="W7" s="11"/>
      <c r="X7" s="11"/>
      <c r="Y7" s="11"/>
      <c r="Z7" s="11"/>
    </row>
    <row r="8" spans="1:26" ht="15.75" customHeight="1" x14ac:dyDescent="0.3">
      <c r="A8" s="12">
        <v>45785</v>
      </c>
      <c r="B8" s="13" t="s">
        <v>8</v>
      </c>
      <c r="C8" s="14">
        <f>VLOOKUP(B8,'TARIFAS '!$A$3:$N$239,2,FALSE)</f>
        <v>500000</v>
      </c>
      <c r="D8" s="231">
        <f t="shared" si="0"/>
        <v>1000000</v>
      </c>
      <c r="E8" s="214"/>
      <c r="F8" s="11"/>
      <c r="G8" s="11"/>
      <c r="H8" s="11"/>
      <c r="I8" s="11"/>
      <c r="J8" s="11"/>
      <c r="K8" s="11"/>
      <c r="L8" s="11"/>
      <c r="M8" s="11"/>
      <c r="N8" s="11"/>
      <c r="O8" s="11"/>
      <c r="P8" s="11"/>
      <c r="Q8" s="11"/>
      <c r="R8" s="11"/>
      <c r="S8" s="11"/>
      <c r="T8" s="11"/>
      <c r="U8" s="11"/>
      <c r="V8" s="11"/>
      <c r="W8" s="11"/>
      <c r="X8" s="11"/>
      <c r="Y8" s="11"/>
      <c r="Z8" s="11"/>
    </row>
    <row r="9" spans="1:26" ht="15.75" customHeight="1" x14ac:dyDescent="0.3">
      <c r="A9" s="8">
        <v>45786</v>
      </c>
      <c r="B9" s="15" t="s">
        <v>9</v>
      </c>
      <c r="C9" s="10">
        <f>VLOOKUP(B9,'TARIFAS '!$A$3:$N$239,2,FALSE)</f>
        <v>530000</v>
      </c>
      <c r="D9" s="230">
        <f t="shared" si="0"/>
        <v>1060000</v>
      </c>
      <c r="E9" s="216"/>
      <c r="F9" s="11"/>
      <c r="G9" s="11"/>
      <c r="H9" s="11"/>
      <c r="I9" s="11"/>
      <c r="J9" s="11"/>
      <c r="K9" s="11"/>
      <c r="L9" s="11"/>
      <c r="M9" s="11"/>
      <c r="N9" s="11"/>
      <c r="O9" s="11"/>
      <c r="P9" s="11"/>
      <c r="Q9" s="11"/>
      <c r="R9" s="11"/>
      <c r="S9" s="11"/>
      <c r="T9" s="11"/>
      <c r="U9" s="11"/>
      <c r="V9" s="11"/>
      <c r="W9" s="11"/>
      <c r="X9" s="11"/>
      <c r="Y9" s="11"/>
      <c r="Z9" s="11"/>
    </row>
    <row r="10" spans="1:26" ht="15.75" customHeight="1" x14ac:dyDescent="0.3">
      <c r="A10" s="12">
        <v>45611</v>
      </c>
      <c r="B10" s="13" t="s">
        <v>10</v>
      </c>
      <c r="C10" s="14">
        <f>VLOOKUP(B10,'TARIFAS '!$A$3:$N$239,2,FALSE)</f>
        <v>450000</v>
      </c>
      <c r="D10" s="231">
        <f t="shared" si="0"/>
        <v>900000</v>
      </c>
      <c r="E10" s="214"/>
      <c r="F10" s="11"/>
      <c r="G10" s="11"/>
      <c r="H10" s="11"/>
      <c r="I10" s="11"/>
      <c r="J10" s="11"/>
      <c r="K10" s="11"/>
      <c r="L10" s="11"/>
      <c r="M10" s="11"/>
      <c r="N10" s="11"/>
      <c r="O10" s="11"/>
      <c r="P10" s="11"/>
      <c r="Q10" s="11"/>
      <c r="R10" s="11"/>
      <c r="S10" s="11"/>
      <c r="T10" s="11"/>
      <c r="U10" s="11"/>
      <c r="V10" s="11"/>
      <c r="W10" s="11"/>
      <c r="X10" s="11"/>
      <c r="Y10" s="11"/>
      <c r="Z10" s="11"/>
    </row>
    <row r="11" spans="1:26" ht="15.75" customHeight="1" x14ac:dyDescent="0.3">
      <c r="A11" s="8">
        <v>45612</v>
      </c>
      <c r="B11" s="15" t="s">
        <v>11</v>
      </c>
      <c r="C11" s="10">
        <f>VLOOKUP(B11,'TARIFAS '!$A$3:$N$239,2,FALSE)</f>
        <v>440000</v>
      </c>
      <c r="D11" s="230">
        <f t="shared" si="0"/>
        <v>880000</v>
      </c>
      <c r="E11" s="216"/>
      <c r="F11" s="11"/>
      <c r="G11" s="11"/>
      <c r="H11" s="11"/>
      <c r="I11" s="11"/>
      <c r="J11" s="11"/>
      <c r="K11" s="11"/>
      <c r="L11" s="11"/>
      <c r="M11" s="11"/>
      <c r="N11" s="11"/>
      <c r="O11" s="11"/>
      <c r="P11" s="11"/>
      <c r="Q11" s="11"/>
      <c r="R11" s="11"/>
      <c r="S11" s="11"/>
      <c r="T11" s="11"/>
      <c r="U11" s="11"/>
      <c r="V11" s="11"/>
      <c r="W11" s="11"/>
      <c r="X11" s="11"/>
      <c r="Y11" s="11"/>
      <c r="Z11" s="11"/>
    </row>
    <row r="12" spans="1:26" ht="15.75" customHeight="1" x14ac:dyDescent="0.3">
      <c r="A12" s="12">
        <v>45613</v>
      </c>
      <c r="B12" s="13" t="s">
        <v>12</v>
      </c>
      <c r="C12" s="14">
        <f>VLOOKUP(B12,'TARIFAS '!$A$3:$N$239,2,FALSE)</f>
        <v>490000</v>
      </c>
      <c r="D12" s="231">
        <f t="shared" si="0"/>
        <v>980000</v>
      </c>
      <c r="E12" s="214"/>
      <c r="F12" s="11"/>
      <c r="G12" s="11"/>
      <c r="H12" s="11"/>
      <c r="I12" s="11"/>
      <c r="J12" s="11"/>
      <c r="K12" s="11"/>
      <c r="L12" s="11"/>
      <c r="M12" s="11"/>
      <c r="N12" s="11"/>
      <c r="O12" s="11"/>
      <c r="P12" s="11"/>
      <c r="Q12" s="11"/>
      <c r="R12" s="11"/>
      <c r="S12" s="11"/>
      <c r="T12" s="11"/>
      <c r="U12" s="11"/>
      <c r="V12" s="11"/>
      <c r="W12" s="11"/>
      <c r="X12" s="11"/>
      <c r="Y12" s="11"/>
      <c r="Z12" s="11"/>
    </row>
    <row r="13" spans="1:26" ht="15.75" customHeight="1" x14ac:dyDescent="0.3">
      <c r="A13" s="8">
        <v>45614</v>
      </c>
      <c r="B13" s="15" t="s">
        <v>13</v>
      </c>
      <c r="C13" s="10">
        <f>VLOOKUP(B13,'TARIFAS '!$A$3:$N$239,2,FALSE)</f>
        <v>3700000</v>
      </c>
      <c r="D13" s="230">
        <f t="shared" si="0"/>
        <v>7400000</v>
      </c>
      <c r="E13" s="216"/>
      <c r="F13" s="11"/>
      <c r="G13" s="11"/>
      <c r="H13" s="11"/>
      <c r="I13" s="11"/>
      <c r="J13" s="11"/>
      <c r="K13" s="11"/>
      <c r="L13" s="11"/>
      <c r="M13" s="11"/>
      <c r="N13" s="11"/>
      <c r="O13" s="11"/>
      <c r="P13" s="11"/>
      <c r="Q13" s="11"/>
      <c r="R13" s="11"/>
      <c r="S13" s="11"/>
      <c r="T13" s="11"/>
      <c r="U13" s="11"/>
      <c r="V13" s="11"/>
      <c r="W13" s="11"/>
      <c r="X13" s="11"/>
      <c r="Y13" s="11"/>
      <c r="Z13" s="11"/>
    </row>
    <row r="14" spans="1:26" ht="15.75" customHeight="1" x14ac:dyDescent="0.3">
      <c r="A14" s="12">
        <v>45615</v>
      </c>
      <c r="B14" s="13" t="s">
        <v>14</v>
      </c>
      <c r="C14" s="14">
        <f>VLOOKUP(B14,'TARIFAS '!$A$3:$N$239,2,FALSE)</f>
        <v>1700000</v>
      </c>
      <c r="D14" s="231">
        <f t="shared" si="0"/>
        <v>3400000</v>
      </c>
      <c r="E14" s="214"/>
      <c r="F14" s="11"/>
      <c r="G14" s="11"/>
      <c r="H14" s="11"/>
      <c r="I14" s="11"/>
      <c r="J14" s="11"/>
      <c r="K14" s="11"/>
      <c r="L14" s="11"/>
      <c r="M14" s="11"/>
      <c r="N14" s="11"/>
      <c r="O14" s="11"/>
      <c r="P14" s="11"/>
      <c r="Q14" s="11"/>
      <c r="R14" s="11"/>
      <c r="S14" s="11"/>
      <c r="T14" s="11"/>
      <c r="U14" s="11"/>
      <c r="V14" s="11"/>
      <c r="W14" s="11"/>
      <c r="X14" s="11"/>
      <c r="Y14" s="11"/>
      <c r="Z14" s="11"/>
    </row>
    <row r="15" spans="1:26" ht="15.75" customHeight="1" x14ac:dyDescent="0.3">
      <c r="A15" s="8">
        <v>45616</v>
      </c>
      <c r="B15" s="15" t="s">
        <v>5</v>
      </c>
      <c r="C15" s="10">
        <f>VLOOKUP(B15,'TARIFAS '!$A$3:$N$239,2,FALSE)</f>
        <v>180000</v>
      </c>
      <c r="D15" s="230">
        <f t="shared" si="0"/>
        <v>360000</v>
      </c>
      <c r="E15" s="216"/>
      <c r="F15" s="11"/>
      <c r="G15" s="11"/>
      <c r="H15" s="11"/>
      <c r="I15" s="11"/>
      <c r="J15" s="11"/>
      <c r="K15" s="11"/>
      <c r="L15" s="11"/>
      <c r="M15" s="11"/>
      <c r="N15" s="11"/>
      <c r="O15" s="11"/>
      <c r="P15" s="11"/>
      <c r="Q15" s="11"/>
      <c r="R15" s="11"/>
      <c r="S15" s="11"/>
      <c r="T15" s="11"/>
      <c r="U15" s="11"/>
      <c r="V15" s="11"/>
      <c r="W15" s="11"/>
      <c r="X15" s="11"/>
      <c r="Y15" s="11"/>
      <c r="Z15" s="11"/>
    </row>
    <row r="16" spans="1:26" ht="15.75" customHeight="1" x14ac:dyDescent="0.3">
      <c r="A16" s="12">
        <v>45617</v>
      </c>
      <c r="B16" s="13" t="s">
        <v>14</v>
      </c>
      <c r="C16" s="14">
        <f>VLOOKUP(B16,'TARIFAS '!$A$3:$N$239,2,FALSE)</f>
        <v>1700000</v>
      </c>
      <c r="D16" s="231">
        <f t="shared" si="0"/>
        <v>3400000</v>
      </c>
      <c r="E16" s="214"/>
      <c r="F16" s="11"/>
      <c r="G16" s="11"/>
      <c r="H16" s="11"/>
      <c r="I16" s="11"/>
      <c r="J16" s="11"/>
      <c r="K16" s="11"/>
      <c r="L16" s="11"/>
      <c r="M16" s="11"/>
      <c r="N16" s="11"/>
      <c r="O16" s="11"/>
      <c r="P16" s="11"/>
      <c r="Q16" s="11"/>
      <c r="R16" s="11"/>
      <c r="S16" s="11"/>
      <c r="T16" s="11"/>
      <c r="U16" s="11"/>
      <c r="V16" s="11"/>
      <c r="W16" s="11"/>
      <c r="X16" s="11"/>
      <c r="Y16" s="11"/>
      <c r="Z16" s="11"/>
    </row>
    <row r="17" spans="1:26" ht="15.75" customHeight="1" x14ac:dyDescent="0.3">
      <c r="A17" s="8">
        <v>45618</v>
      </c>
      <c r="B17" s="15" t="s">
        <v>13</v>
      </c>
      <c r="C17" s="10">
        <f>VLOOKUP(B17,'TARIFAS '!$A$3:$N$239,2,FALSE)</f>
        <v>3700000</v>
      </c>
      <c r="D17" s="230">
        <f t="shared" si="0"/>
        <v>7400000</v>
      </c>
      <c r="E17" s="216"/>
      <c r="F17" s="11"/>
      <c r="G17" s="11"/>
      <c r="H17" s="11"/>
      <c r="I17" s="11"/>
      <c r="J17" s="11"/>
      <c r="K17" s="11"/>
      <c r="L17" s="11"/>
      <c r="M17" s="11"/>
      <c r="N17" s="11"/>
      <c r="O17" s="11"/>
      <c r="P17" s="11"/>
      <c r="Q17" s="11"/>
      <c r="R17" s="11"/>
      <c r="S17" s="11"/>
      <c r="T17" s="11"/>
      <c r="U17" s="11"/>
      <c r="V17" s="11"/>
      <c r="W17" s="11"/>
      <c r="X17" s="11"/>
      <c r="Y17" s="11"/>
      <c r="Z17" s="11"/>
    </row>
    <row r="18" spans="1:26" ht="15.75" customHeight="1" x14ac:dyDescent="0.3">
      <c r="A18" s="12">
        <v>45619</v>
      </c>
      <c r="B18" s="13" t="s">
        <v>14</v>
      </c>
      <c r="C18" s="14">
        <f>VLOOKUP(B18,'TARIFAS '!$A$3:$N$239,2,FALSE)</f>
        <v>1700000</v>
      </c>
      <c r="D18" s="231">
        <f t="shared" si="0"/>
        <v>3400000</v>
      </c>
      <c r="E18" s="214"/>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3">
      <c r="A19" s="8">
        <v>45620</v>
      </c>
      <c r="B19" s="15" t="s">
        <v>13</v>
      </c>
      <c r="C19" s="10">
        <f>VLOOKUP(B19,'TARIFAS '!$A$3:$N$239,2,FALSE)</f>
        <v>3700000</v>
      </c>
      <c r="D19" s="230">
        <f t="shared" si="0"/>
        <v>7400000</v>
      </c>
      <c r="E19" s="216"/>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3">
      <c r="A20" s="12">
        <v>45621</v>
      </c>
      <c r="B20" s="13" t="s">
        <v>10</v>
      </c>
      <c r="C20" s="14">
        <f>VLOOKUP(B20,'TARIFAS '!$A$3:$N$239,2,FALSE)</f>
        <v>450000</v>
      </c>
      <c r="D20" s="231">
        <f t="shared" si="0"/>
        <v>900000</v>
      </c>
      <c r="E20" s="214"/>
      <c r="F20" s="11"/>
      <c r="G20" s="11"/>
      <c r="H20" s="11"/>
      <c r="I20" s="11"/>
      <c r="J20" s="11"/>
      <c r="K20" s="11"/>
      <c r="L20" s="11"/>
      <c r="M20" s="11"/>
      <c r="N20" s="11"/>
      <c r="O20" s="11"/>
      <c r="P20" s="11"/>
      <c r="Q20" s="11"/>
      <c r="R20" s="11"/>
      <c r="S20" s="11"/>
      <c r="T20" s="11"/>
      <c r="U20" s="11"/>
      <c r="V20" s="11"/>
      <c r="W20" s="11"/>
      <c r="X20" s="11"/>
      <c r="Y20" s="11"/>
      <c r="Z20" s="11"/>
    </row>
    <row r="21" spans="1:26" ht="15.75" customHeight="1" x14ac:dyDescent="0.3">
      <c r="A21" s="8"/>
      <c r="B21" s="15" t="s">
        <v>10</v>
      </c>
      <c r="C21" s="10">
        <f>VLOOKUP(B21,'TARIFAS '!$A$3:$N$239,2,FALSE)</f>
        <v>450000</v>
      </c>
      <c r="D21" s="232">
        <f t="shared" si="0"/>
        <v>900000</v>
      </c>
      <c r="E21" s="233"/>
      <c r="F21" s="11"/>
      <c r="G21" s="11"/>
      <c r="H21" s="11"/>
      <c r="I21" s="11"/>
      <c r="J21" s="11"/>
      <c r="K21" s="11"/>
      <c r="L21" s="11"/>
      <c r="M21" s="11"/>
      <c r="N21" s="11"/>
      <c r="O21" s="11"/>
      <c r="P21" s="11"/>
      <c r="Q21" s="11"/>
      <c r="R21" s="11"/>
      <c r="S21" s="11"/>
      <c r="T21" s="11"/>
      <c r="U21" s="11"/>
      <c r="V21" s="11"/>
      <c r="W21" s="11"/>
      <c r="X21" s="11"/>
      <c r="Y21" s="11"/>
      <c r="Z21" s="11"/>
    </row>
    <row r="22" spans="1:26" ht="22.5" customHeight="1" x14ac:dyDescent="0.25">
      <c r="A22" s="235" t="s">
        <v>15</v>
      </c>
      <c r="B22" s="236"/>
      <c r="C22" s="237"/>
      <c r="D22" s="16">
        <f>SUM(D5:D21)</f>
        <v>41220000</v>
      </c>
      <c r="E22" s="17"/>
      <c r="F22" s="7"/>
      <c r="G22" s="7"/>
      <c r="H22" s="7"/>
      <c r="I22" s="7"/>
      <c r="J22" s="7"/>
      <c r="K22" s="7"/>
      <c r="L22" s="7"/>
      <c r="M22" s="7"/>
      <c r="N22" s="7"/>
      <c r="O22" s="7"/>
      <c r="P22" s="7"/>
      <c r="Q22" s="7"/>
      <c r="R22" s="7"/>
      <c r="S22" s="7"/>
      <c r="T22" s="7"/>
      <c r="U22" s="7"/>
      <c r="V22" s="7"/>
      <c r="W22" s="7"/>
      <c r="X22" s="7"/>
      <c r="Y22" s="7"/>
      <c r="Z22" s="7"/>
    </row>
    <row r="23" spans="1:26" ht="22.5" hidden="1" customHeight="1" x14ac:dyDescent="0.25">
      <c r="A23" s="238" t="s">
        <v>16</v>
      </c>
      <c r="B23" s="239"/>
      <c r="C23" s="240"/>
      <c r="D23" s="18">
        <v>0</v>
      </c>
      <c r="E23" s="19" t="s">
        <v>17</v>
      </c>
      <c r="F23" s="7"/>
      <c r="G23" s="7"/>
      <c r="H23" s="7"/>
      <c r="I23" s="7"/>
      <c r="J23" s="7"/>
      <c r="K23" s="7"/>
      <c r="L23" s="7"/>
      <c r="M23" s="7"/>
      <c r="N23" s="7"/>
      <c r="O23" s="7"/>
      <c r="P23" s="7"/>
      <c r="Q23" s="7"/>
      <c r="R23" s="7"/>
      <c r="S23" s="7"/>
      <c r="T23" s="7"/>
      <c r="U23" s="7"/>
      <c r="V23" s="7"/>
      <c r="W23" s="7"/>
      <c r="X23" s="7"/>
      <c r="Y23" s="7"/>
      <c r="Z23" s="7"/>
    </row>
    <row r="24" spans="1:26" ht="22.5" hidden="1" customHeight="1" x14ac:dyDescent="0.25">
      <c r="A24" s="238" t="s">
        <v>18</v>
      </c>
      <c r="B24" s="239"/>
      <c r="C24" s="240"/>
      <c r="D24" s="18">
        <f>+D22-D23</f>
        <v>41220000</v>
      </c>
      <c r="E24" s="19" t="s">
        <v>17</v>
      </c>
      <c r="F24" s="7"/>
      <c r="G24" s="7"/>
      <c r="H24" s="7"/>
      <c r="I24" s="7"/>
      <c r="J24" s="7"/>
      <c r="K24" s="7"/>
      <c r="L24" s="7"/>
      <c r="M24" s="7"/>
      <c r="N24" s="7"/>
      <c r="O24" s="7"/>
      <c r="P24" s="7"/>
      <c r="Q24" s="7"/>
      <c r="R24" s="7"/>
      <c r="S24" s="7"/>
      <c r="T24" s="7"/>
      <c r="U24" s="7"/>
      <c r="V24" s="7"/>
      <c r="W24" s="7"/>
      <c r="X24" s="7"/>
      <c r="Y24" s="7"/>
      <c r="Z24" s="7"/>
    </row>
    <row r="25" spans="1:26" ht="22.5" customHeight="1" x14ac:dyDescent="0.25">
      <c r="A25" s="238" t="s">
        <v>19</v>
      </c>
      <c r="B25" s="239"/>
      <c r="C25" s="240"/>
      <c r="D25" s="18">
        <f>SUM(Datos!C4:C20)-D23</f>
        <v>13880000</v>
      </c>
      <c r="E25" s="19" t="s">
        <v>17</v>
      </c>
      <c r="F25" s="7"/>
      <c r="G25" s="7"/>
      <c r="H25" s="7"/>
      <c r="I25" s="7"/>
      <c r="J25" s="7"/>
      <c r="K25" s="7"/>
      <c r="L25" s="7"/>
      <c r="M25" s="7"/>
      <c r="N25" s="7"/>
      <c r="O25" s="7"/>
      <c r="P25" s="7"/>
      <c r="Q25" s="7"/>
      <c r="R25" s="7"/>
      <c r="S25" s="7"/>
      <c r="T25" s="7"/>
      <c r="U25" s="7"/>
      <c r="V25" s="7"/>
      <c r="W25" s="7"/>
      <c r="X25" s="7"/>
      <c r="Y25" s="7"/>
      <c r="Z25" s="7"/>
    </row>
    <row r="26" spans="1:26" ht="22.5" customHeight="1" x14ac:dyDescent="0.25">
      <c r="A26" s="241" t="s">
        <v>20</v>
      </c>
      <c r="B26" s="242"/>
      <c r="C26" s="243"/>
      <c r="D26" s="20">
        <f>SUM(Datos!E4:E20)</f>
        <v>21340000</v>
      </c>
      <c r="E26" s="21" t="s">
        <v>21</v>
      </c>
      <c r="F26" s="22"/>
      <c r="G26" s="7"/>
      <c r="H26" s="7"/>
      <c r="I26" s="7"/>
      <c r="J26" s="7"/>
      <c r="K26" s="7"/>
      <c r="L26" s="7"/>
      <c r="M26" s="7"/>
      <c r="N26" s="7"/>
      <c r="O26" s="7"/>
      <c r="P26" s="7"/>
      <c r="Q26" s="7"/>
      <c r="R26" s="7"/>
      <c r="S26" s="7"/>
      <c r="T26" s="7"/>
      <c r="U26" s="7"/>
      <c r="V26" s="7"/>
      <c r="W26" s="7"/>
      <c r="X26" s="7"/>
      <c r="Y26" s="7"/>
      <c r="Z26" s="7"/>
    </row>
    <row r="27" spans="1:26" ht="6.75" customHeight="1" x14ac:dyDescent="0.25">
      <c r="A27" s="23"/>
      <c r="B27" s="24"/>
      <c r="C27" s="25"/>
      <c r="D27" s="25"/>
    </row>
    <row r="28" spans="1:26" ht="14.25" customHeight="1" x14ac:dyDescent="0.25">
      <c r="A28" s="244">
        <f>+D2</f>
        <v>2</v>
      </c>
      <c r="B28" s="221"/>
      <c r="C28" s="26">
        <f>+D25</f>
        <v>13880000</v>
      </c>
      <c r="D28" s="26"/>
    </row>
    <row r="29" spans="1:26" ht="6.75" customHeight="1" x14ac:dyDescent="0.25">
      <c r="A29" s="27"/>
      <c r="B29" s="27"/>
      <c r="C29" s="26"/>
      <c r="D29" s="26"/>
    </row>
    <row r="30" spans="1:26" ht="15" customHeight="1" x14ac:dyDescent="0.25">
      <c r="A30" s="245" t="s">
        <v>22</v>
      </c>
      <c r="B30" s="247">
        <f>+D25</f>
        <v>13880000</v>
      </c>
      <c r="C30" s="28" t="s">
        <v>23</v>
      </c>
      <c r="D30" s="234">
        <v>2222.4549999999999</v>
      </c>
      <c r="E30" s="218"/>
    </row>
    <row r="31" spans="1:26" ht="14.25" customHeight="1" x14ac:dyDescent="0.25">
      <c r="A31" s="246"/>
      <c r="B31" s="221"/>
      <c r="C31" s="29">
        <f ca="1">+TODAY()</f>
        <v>46067</v>
      </c>
      <c r="D31" s="221"/>
      <c r="E31" s="216"/>
    </row>
    <row r="32" spans="1:26" ht="14.25" customHeight="1" x14ac:dyDescent="0.25">
      <c r="A32" s="248" t="s">
        <v>24</v>
      </c>
      <c r="B32" s="221"/>
      <c r="C32" s="221"/>
      <c r="D32" s="221"/>
      <c r="E32" s="216"/>
    </row>
    <row r="33" spans="1:26" ht="14.25" customHeight="1" x14ac:dyDescent="0.25">
      <c r="A33" s="246"/>
      <c r="B33" s="221"/>
      <c r="C33" s="221"/>
      <c r="D33" s="221"/>
      <c r="E33" s="216"/>
    </row>
    <row r="34" spans="1:26" ht="14.25" customHeight="1" x14ac:dyDescent="0.25">
      <c r="A34" s="246"/>
      <c r="B34" s="221"/>
      <c r="C34" s="221"/>
      <c r="D34" s="221"/>
      <c r="E34" s="216"/>
    </row>
    <row r="35" spans="1:26" ht="14.25" customHeight="1" x14ac:dyDescent="0.25">
      <c r="A35" s="249"/>
      <c r="B35" s="250"/>
      <c r="C35" s="250"/>
      <c r="D35" s="250"/>
      <c r="E35" s="233"/>
    </row>
    <row r="36" spans="1:26" ht="7.5" customHeight="1" x14ac:dyDescent="0.25">
      <c r="A36" s="23"/>
      <c r="B36" s="24"/>
      <c r="C36" s="25"/>
    </row>
    <row r="37" spans="1:26" ht="15" hidden="1" customHeight="1" x14ac:dyDescent="0.25">
      <c r="A37" s="251" t="s">
        <v>25</v>
      </c>
      <c r="B37" s="252"/>
      <c r="C37" s="252"/>
      <c r="D37" s="252"/>
      <c r="E37" s="218"/>
    </row>
    <row r="38" spans="1:26" ht="70.5" hidden="1" customHeight="1" x14ac:dyDescent="0.25">
      <c r="A38" s="249"/>
      <c r="B38" s="250"/>
      <c r="C38" s="250"/>
      <c r="D38" s="250"/>
      <c r="E38" s="233"/>
    </row>
    <row r="39" spans="1:26" ht="5.25" customHeight="1" x14ac:dyDescent="0.25">
      <c r="A39" s="23"/>
      <c r="B39" s="24"/>
      <c r="C39" s="25"/>
    </row>
    <row r="40" spans="1:26" ht="15" hidden="1" customHeight="1" x14ac:dyDescent="0.25">
      <c r="A40" s="253"/>
      <c r="B40" s="221"/>
      <c r="C40" s="221"/>
      <c r="D40" s="221"/>
      <c r="E40" s="221"/>
    </row>
    <row r="41" spans="1:26" ht="8.25" customHeight="1" x14ac:dyDescent="0.25">
      <c r="A41" s="221"/>
      <c r="B41" s="221"/>
      <c r="C41" s="221"/>
      <c r="D41" s="221"/>
      <c r="E41" s="221"/>
    </row>
    <row r="42" spans="1:26" ht="15.75" customHeight="1" x14ac:dyDescent="0.25">
      <c r="A42" s="30"/>
      <c r="B42" s="31"/>
      <c r="C42" s="32"/>
      <c r="D42" s="32"/>
      <c r="E42" s="32"/>
    </row>
    <row r="43" spans="1:26" ht="15.75" customHeight="1" x14ac:dyDescent="0.25">
      <c r="A43" s="254" t="s">
        <v>1</v>
      </c>
      <c r="B43" s="258" t="s">
        <v>2</v>
      </c>
      <c r="C43" s="218"/>
      <c r="D43" s="256" t="s">
        <v>20</v>
      </c>
      <c r="E43" s="218"/>
    </row>
    <row r="44" spans="1:26" ht="23.25" customHeight="1" x14ac:dyDescent="0.25">
      <c r="A44" s="255"/>
      <c r="B44" s="249"/>
      <c r="C44" s="233"/>
      <c r="D44" s="257">
        <f>D2</f>
        <v>2</v>
      </c>
      <c r="E44" s="233"/>
    </row>
    <row r="45" spans="1:26" ht="16.5" customHeight="1" x14ac:dyDescent="0.25">
      <c r="A45" s="33">
        <f t="shared" ref="A45:B45" si="1">+A5</f>
        <v>45781</v>
      </c>
      <c r="B45" s="220" t="str">
        <f t="shared" si="1"/>
        <v>Aluguel De Moto Elétrica 2 Pessoas</v>
      </c>
      <c r="C45" s="221"/>
      <c r="D45" s="217">
        <f>+Datos!E4</f>
        <v>160000</v>
      </c>
      <c r="E45" s="218"/>
      <c r="F45" s="7"/>
      <c r="G45" s="7"/>
      <c r="H45" s="7"/>
      <c r="I45" s="7"/>
      <c r="J45" s="7"/>
      <c r="K45" s="7"/>
      <c r="L45" s="7"/>
      <c r="M45" s="7"/>
      <c r="N45" s="7"/>
      <c r="O45" s="7"/>
      <c r="P45" s="7"/>
      <c r="Q45" s="7"/>
      <c r="R45" s="7"/>
      <c r="S45" s="7"/>
      <c r="T45" s="7"/>
      <c r="U45" s="7"/>
      <c r="V45" s="7"/>
      <c r="W45" s="7"/>
      <c r="X45" s="7"/>
      <c r="Y45" s="7"/>
      <c r="Z45" s="7"/>
    </row>
    <row r="46" spans="1:26" ht="16.5" customHeight="1" x14ac:dyDescent="0.25">
      <c r="A46" s="34">
        <f t="shared" ref="A46:B46" si="2">+A6</f>
        <v>45782</v>
      </c>
      <c r="B46" s="222" t="str">
        <f t="shared" si="2"/>
        <v>City Tour Panoramico + Catedral de Sal Regular</v>
      </c>
      <c r="C46" s="223"/>
      <c r="D46" s="219">
        <f>+Datos!E5</f>
        <v>0</v>
      </c>
      <c r="E46" s="214"/>
      <c r="F46" s="7"/>
      <c r="G46" s="7"/>
      <c r="H46" s="7"/>
      <c r="I46" s="7"/>
      <c r="J46" s="7"/>
      <c r="K46" s="7"/>
      <c r="L46" s="7"/>
      <c r="M46" s="7"/>
      <c r="N46" s="7"/>
      <c r="O46" s="7"/>
      <c r="P46" s="7"/>
      <c r="Q46" s="7"/>
      <c r="R46" s="7"/>
      <c r="S46" s="7"/>
      <c r="T46" s="7"/>
      <c r="U46" s="7"/>
      <c r="V46" s="7"/>
      <c r="W46" s="7"/>
      <c r="X46" s="7"/>
      <c r="Y46" s="7"/>
      <c r="Z46" s="7"/>
    </row>
    <row r="47" spans="1:26" ht="16.5" customHeight="1" x14ac:dyDescent="0.25">
      <c r="A47" s="33">
        <f t="shared" ref="A47:B47" si="3">+A7</f>
        <v>45784</v>
      </c>
      <c r="B47" s="220" t="str">
        <f t="shared" si="3"/>
        <v>Bora Bora Bc</v>
      </c>
      <c r="C47" s="221"/>
      <c r="D47" s="215">
        <f>+Datos!E6</f>
        <v>560000</v>
      </c>
      <c r="E47" s="216"/>
      <c r="F47" s="7"/>
      <c r="G47" s="7"/>
      <c r="H47" s="7"/>
      <c r="I47" s="7"/>
      <c r="J47" s="7"/>
      <c r="K47" s="7"/>
      <c r="L47" s="7"/>
      <c r="M47" s="7"/>
      <c r="N47" s="7"/>
      <c r="O47" s="7"/>
      <c r="P47" s="7"/>
      <c r="Q47" s="7"/>
      <c r="R47" s="7"/>
      <c r="S47" s="7"/>
      <c r="T47" s="7"/>
      <c r="U47" s="7"/>
      <c r="V47" s="7"/>
      <c r="W47" s="7"/>
      <c r="X47" s="7"/>
      <c r="Y47" s="7"/>
      <c r="Z47" s="7"/>
    </row>
    <row r="48" spans="1:26" ht="16.5" customHeight="1" x14ac:dyDescent="0.25">
      <c r="A48" s="34">
        <f t="shared" ref="A48:B48" si="4">+A8</f>
        <v>45785</v>
      </c>
      <c r="B48" s="222" t="str">
        <f t="shared" si="4"/>
        <v>Walking Tour + Castillo San Felipe 09:00 1PAX</v>
      </c>
      <c r="C48" s="223"/>
      <c r="D48" s="213">
        <f>+Datos!E7</f>
        <v>1000000</v>
      </c>
      <c r="E48" s="214"/>
      <c r="F48" s="7"/>
      <c r="G48" s="7"/>
      <c r="H48" s="7"/>
      <c r="I48" s="7"/>
      <c r="J48" s="7"/>
      <c r="K48" s="7"/>
      <c r="L48" s="7"/>
      <c r="M48" s="7"/>
      <c r="N48" s="7"/>
      <c r="O48" s="7"/>
      <c r="P48" s="7"/>
      <c r="Q48" s="7"/>
      <c r="R48" s="7"/>
      <c r="S48" s="7"/>
      <c r="T48" s="7"/>
      <c r="U48" s="7"/>
      <c r="V48" s="7"/>
      <c r="W48" s="7"/>
      <c r="X48" s="7"/>
      <c r="Y48" s="7"/>
      <c r="Z48" s="7"/>
    </row>
    <row r="49" spans="1:26" ht="16.5" customHeight="1" x14ac:dyDescent="0.25">
      <c r="A49" s="33">
        <f t="shared" ref="A49:B49" si="5">+A9</f>
        <v>45786</v>
      </c>
      <c r="B49" s="220" t="str">
        <f t="shared" si="5"/>
        <v>Isla Palma</v>
      </c>
      <c r="C49" s="221"/>
      <c r="D49" s="215">
        <f>+Datos!E8</f>
        <v>700000</v>
      </c>
      <c r="E49" s="216"/>
      <c r="F49" s="7"/>
      <c r="G49" s="7"/>
      <c r="H49" s="7"/>
      <c r="I49" s="7"/>
      <c r="J49" s="7"/>
      <c r="K49" s="7"/>
      <c r="L49" s="7"/>
      <c r="M49" s="7"/>
      <c r="N49" s="7"/>
      <c r="O49" s="7"/>
      <c r="P49" s="7"/>
      <c r="Q49" s="7"/>
      <c r="R49" s="7"/>
      <c r="S49" s="7"/>
      <c r="T49" s="7"/>
      <c r="U49" s="7"/>
      <c r="V49" s="7"/>
      <c r="W49" s="7"/>
      <c r="X49" s="7"/>
      <c r="Y49" s="7"/>
      <c r="Z49" s="7"/>
    </row>
    <row r="50" spans="1:26" ht="16.5" customHeight="1" x14ac:dyDescent="0.25">
      <c r="A50" s="34">
        <f t="shared" ref="A50:B50" si="6">+A10</f>
        <v>45611</v>
      </c>
      <c r="B50" s="222" t="str">
        <f t="shared" si="6"/>
        <v>PAU´E</v>
      </c>
      <c r="C50" s="223"/>
      <c r="D50" s="213">
        <f>+Datos!E9</f>
        <v>700000</v>
      </c>
      <c r="E50" s="214"/>
      <c r="F50" s="7"/>
      <c r="G50" s="7"/>
      <c r="H50" s="7"/>
      <c r="I50" s="7"/>
      <c r="J50" s="7"/>
      <c r="K50" s="7"/>
      <c r="L50" s="7"/>
      <c r="M50" s="7"/>
      <c r="N50" s="7"/>
      <c r="O50" s="7"/>
      <c r="P50" s="7"/>
      <c r="Q50" s="7"/>
      <c r="R50" s="7"/>
      <c r="S50" s="7"/>
      <c r="T50" s="7"/>
      <c r="U50" s="7"/>
      <c r="V50" s="7"/>
      <c r="W50" s="7"/>
      <c r="X50" s="7"/>
      <c r="Y50" s="7"/>
      <c r="Z50" s="7"/>
    </row>
    <row r="51" spans="1:26" ht="16.5" customHeight="1" x14ac:dyDescent="0.25">
      <c r="A51" s="33">
        <f t="shared" ref="A51:B51" si="7">+A11</f>
        <v>45612</v>
      </c>
      <c r="B51" s="220" t="str">
        <f t="shared" si="7"/>
        <v>Bonavida</v>
      </c>
      <c r="C51" s="221"/>
      <c r="D51" s="215">
        <f>+Datos!E10</f>
        <v>740000</v>
      </c>
      <c r="E51" s="216"/>
      <c r="F51" s="7"/>
      <c r="G51" s="7"/>
      <c r="H51" s="7"/>
      <c r="I51" s="7"/>
      <c r="J51" s="7"/>
      <c r="K51" s="7"/>
      <c r="L51" s="7"/>
      <c r="M51" s="7"/>
      <c r="N51" s="7"/>
      <c r="O51" s="7"/>
      <c r="P51" s="7"/>
      <c r="Q51" s="7"/>
      <c r="R51" s="7"/>
      <c r="S51" s="7"/>
      <c r="T51" s="7"/>
      <c r="U51" s="7"/>
      <c r="V51" s="7"/>
      <c r="W51" s="7"/>
      <c r="X51" s="7"/>
      <c r="Y51" s="7"/>
      <c r="Z51" s="7"/>
    </row>
    <row r="52" spans="1:26" ht="16.5" customHeight="1" x14ac:dyDescent="0.25">
      <c r="A52" s="34">
        <f t="shared" ref="A52:B52" si="8">+A12</f>
        <v>45613</v>
      </c>
      <c r="B52" s="222" t="str">
        <f t="shared" si="8"/>
        <v>Bora Bora Vip</v>
      </c>
      <c r="C52" s="223"/>
      <c r="D52" s="213">
        <f>+Datos!E11</f>
        <v>740000</v>
      </c>
      <c r="E52" s="214"/>
      <c r="F52" s="7"/>
      <c r="G52" s="7"/>
      <c r="H52" s="7"/>
      <c r="I52" s="7"/>
      <c r="J52" s="7"/>
      <c r="K52" s="7"/>
      <c r="L52" s="7"/>
      <c r="M52" s="7"/>
      <c r="N52" s="7"/>
      <c r="O52" s="7"/>
      <c r="P52" s="7"/>
      <c r="Q52" s="7"/>
      <c r="R52" s="7"/>
      <c r="S52" s="7"/>
      <c r="T52" s="7"/>
      <c r="U52" s="7"/>
      <c r="V52" s="7"/>
      <c r="W52" s="7"/>
      <c r="X52" s="7"/>
      <c r="Y52" s="7"/>
      <c r="Z52" s="7"/>
    </row>
    <row r="53" spans="1:26" ht="16.5" customHeight="1" x14ac:dyDescent="0.25">
      <c r="A53" s="33">
        <f t="shared" ref="A53:B53" si="9">+A13</f>
        <v>45614</v>
      </c>
      <c r="B53" s="220" t="str">
        <f t="shared" si="9"/>
        <v>Tour en lancha privativa JOE 2024</v>
      </c>
      <c r="C53" s="221"/>
      <c r="D53" s="215">
        <f>+Datos!E12</f>
        <v>2700000</v>
      </c>
      <c r="E53" s="216"/>
      <c r="F53" s="7"/>
      <c r="G53" s="7"/>
      <c r="H53" s="7"/>
      <c r="I53" s="7"/>
      <c r="J53" s="7"/>
      <c r="K53" s="7"/>
      <c r="L53" s="7"/>
      <c r="M53" s="7"/>
      <c r="N53" s="7"/>
      <c r="O53" s="7"/>
      <c r="P53" s="7"/>
      <c r="Q53" s="7"/>
      <c r="R53" s="7"/>
      <c r="S53" s="7"/>
      <c r="T53" s="7"/>
      <c r="U53" s="7"/>
      <c r="V53" s="7"/>
      <c r="W53" s="7"/>
      <c r="X53" s="7"/>
      <c r="Y53" s="7"/>
      <c r="Z53" s="7"/>
    </row>
    <row r="54" spans="1:26" ht="16.5" customHeight="1" x14ac:dyDescent="0.25">
      <c r="A54" s="34">
        <f t="shared" ref="A54:B54" si="10">+A14</f>
        <v>45615</v>
      </c>
      <c r="B54" s="222" t="str">
        <f t="shared" si="10"/>
        <v>City Tour + Catedral de Sal Privativo</v>
      </c>
      <c r="C54" s="223"/>
      <c r="D54" s="213">
        <f>+Datos!E13</f>
        <v>2360000</v>
      </c>
      <c r="E54" s="214"/>
      <c r="F54" s="7"/>
      <c r="G54" s="7"/>
      <c r="H54" s="7"/>
      <c r="I54" s="7"/>
      <c r="J54" s="7"/>
      <c r="K54" s="7"/>
      <c r="L54" s="7"/>
      <c r="M54" s="7"/>
      <c r="N54" s="7"/>
      <c r="O54" s="7"/>
      <c r="P54" s="7"/>
      <c r="Q54" s="7"/>
      <c r="R54" s="7"/>
      <c r="S54" s="7"/>
      <c r="T54" s="7"/>
      <c r="U54" s="7"/>
      <c r="V54" s="7"/>
      <c r="W54" s="7"/>
      <c r="X54" s="7"/>
      <c r="Y54" s="7"/>
      <c r="Z54" s="7"/>
    </row>
    <row r="55" spans="1:26" ht="16.5" customHeight="1" x14ac:dyDescent="0.25">
      <c r="A55" s="33">
        <f t="shared" ref="A55:B55" si="11">+A15</f>
        <v>45616</v>
      </c>
      <c r="B55" s="220" t="str">
        <f t="shared" si="11"/>
        <v>Aluguel De Moto Elétrica 2 Pessoas</v>
      </c>
      <c r="C55" s="221"/>
      <c r="D55" s="215">
        <f>+Datos!E14</f>
        <v>160000</v>
      </c>
      <c r="E55" s="216"/>
      <c r="F55" s="7"/>
      <c r="G55" s="7"/>
      <c r="H55" s="7"/>
      <c r="I55" s="7"/>
      <c r="J55" s="7"/>
      <c r="K55" s="7"/>
      <c r="L55" s="7"/>
      <c r="M55" s="7"/>
      <c r="N55" s="7"/>
      <c r="O55" s="7"/>
      <c r="P55" s="7"/>
      <c r="Q55" s="7"/>
      <c r="R55" s="7"/>
      <c r="S55" s="7"/>
      <c r="T55" s="7"/>
      <c r="U55" s="7"/>
      <c r="V55" s="7"/>
      <c r="W55" s="7"/>
      <c r="X55" s="7"/>
      <c r="Y55" s="7"/>
      <c r="Z55" s="7"/>
    </row>
    <row r="56" spans="1:26" ht="16.5" customHeight="1" x14ac:dyDescent="0.25">
      <c r="A56" s="34">
        <f t="shared" ref="A56:B56" si="12">+A16</f>
        <v>45617</v>
      </c>
      <c r="B56" s="222" t="str">
        <f t="shared" si="12"/>
        <v>City Tour + Catedral de Sal Privativo</v>
      </c>
      <c r="C56" s="223"/>
      <c r="D56" s="213">
        <f>+Datos!E15</f>
        <v>2360000</v>
      </c>
      <c r="E56" s="214"/>
      <c r="F56" s="7"/>
      <c r="G56" s="7"/>
      <c r="H56" s="7"/>
      <c r="I56" s="7"/>
      <c r="J56" s="7"/>
      <c r="K56" s="7"/>
      <c r="L56" s="7"/>
      <c r="M56" s="7"/>
      <c r="N56" s="7"/>
      <c r="O56" s="7"/>
      <c r="P56" s="7"/>
      <c r="Q56" s="7"/>
      <c r="R56" s="7"/>
      <c r="S56" s="7"/>
      <c r="T56" s="7"/>
      <c r="U56" s="7"/>
      <c r="V56" s="7"/>
      <c r="W56" s="7"/>
      <c r="X56" s="7"/>
      <c r="Y56" s="7"/>
      <c r="Z56" s="7"/>
    </row>
    <row r="57" spans="1:26" ht="16.5" customHeight="1" x14ac:dyDescent="0.25">
      <c r="A57" s="33">
        <f t="shared" ref="A57:B57" si="13">+A17</f>
        <v>45618</v>
      </c>
      <c r="B57" s="220" t="str">
        <f t="shared" si="13"/>
        <v>Tour en lancha privativa JOE 2024</v>
      </c>
      <c r="C57" s="221"/>
      <c r="D57" s="215">
        <f>+Datos!E16</f>
        <v>2700000</v>
      </c>
      <c r="E57" s="216"/>
      <c r="F57" s="7"/>
      <c r="G57" s="7"/>
      <c r="H57" s="7"/>
      <c r="I57" s="7"/>
      <c r="J57" s="7"/>
      <c r="K57" s="7"/>
      <c r="L57" s="7"/>
      <c r="M57" s="7"/>
      <c r="N57" s="7"/>
      <c r="O57" s="7"/>
      <c r="P57" s="7"/>
      <c r="Q57" s="7"/>
      <c r="R57" s="7"/>
      <c r="S57" s="7"/>
      <c r="T57" s="7"/>
      <c r="U57" s="7"/>
      <c r="V57" s="7"/>
      <c r="W57" s="7"/>
      <c r="X57" s="7"/>
      <c r="Y57" s="7"/>
      <c r="Z57" s="7"/>
    </row>
    <row r="58" spans="1:26" ht="16.5" customHeight="1" x14ac:dyDescent="0.25">
      <c r="A58" s="34">
        <f t="shared" ref="A58:B58" si="14">+A18</f>
        <v>45619</v>
      </c>
      <c r="B58" s="222" t="str">
        <f t="shared" si="14"/>
        <v>City Tour + Catedral de Sal Privativo</v>
      </c>
      <c r="C58" s="223"/>
      <c r="D58" s="213">
        <f>+Datos!E17</f>
        <v>2360000</v>
      </c>
      <c r="E58" s="214"/>
      <c r="F58" s="7"/>
      <c r="G58" s="7"/>
      <c r="H58" s="7"/>
      <c r="I58" s="7"/>
      <c r="J58" s="7"/>
      <c r="K58" s="7"/>
      <c r="L58" s="7"/>
      <c r="M58" s="7"/>
      <c r="N58" s="7"/>
      <c r="O58" s="7"/>
      <c r="P58" s="7"/>
      <c r="Q58" s="7"/>
      <c r="R58" s="7"/>
      <c r="S58" s="7"/>
      <c r="T58" s="7"/>
      <c r="U58" s="7"/>
      <c r="V58" s="7"/>
      <c r="W58" s="7"/>
      <c r="X58" s="7"/>
      <c r="Y58" s="7"/>
      <c r="Z58" s="7"/>
    </row>
    <row r="59" spans="1:26" ht="16.5" customHeight="1" x14ac:dyDescent="0.25">
      <c r="A59" s="33">
        <f t="shared" ref="A59:B59" si="15">+A19</f>
        <v>45620</v>
      </c>
      <c r="B59" s="220" t="str">
        <f t="shared" si="15"/>
        <v>Tour en lancha privativa JOE 2024</v>
      </c>
      <c r="C59" s="221"/>
      <c r="D59" s="215">
        <f>+Datos!E18</f>
        <v>2700000</v>
      </c>
      <c r="E59" s="216"/>
      <c r="F59" s="7"/>
      <c r="G59" s="7"/>
      <c r="H59" s="7"/>
      <c r="I59" s="7"/>
      <c r="J59" s="7"/>
      <c r="K59" s="7"/>
      <c r="L59" s="7"/>
      <c r="M59" s="7"/>
      <c r="N59" s="7"/>
      <c r="O59" s="7"/>
      <c r="P59" s="7"/>
      <c r="Q59" s="7"/>
      <c r="R59" s="7"/>
      <c r="S59" s="7"/>
      <c r="T59" s="7"/>
      <c r="U59" s="7"/>
      <c r="V59" s="7"/>
      <c r="W59" s="7"/>
      <c r="X59" s="7"/>
      <c r="Y59" s="7"/>
      <c r="Z59" s="7"/>
    </row>
    <row r="60" spans="1:26" ht="16.5" customHeight="1" x14ac:dyDescent="0.25">
      <c r="A60" s="34">
        <f t="shared" ref="A60:B60" si="16">+A20</f>
        <v>45621</v>
      </c>
      <c r="B60" s="222" t="str">
        <f t="shared" si="16"/>
        <v>PAU´E</v>
      </c>
      <c r="C60" s="223"/>
      <c r="D60" s="213">
        <f>+Datos!E19</f>
        <v>700000</v>
      </c>
      <c r="E60" s="214"/>
      <c r="F60" s="7"/>
      <c r="G60" s="7"/>
      <c r="H60" s="7"/>
      <c r="I60" s="7"/>
      <c r="J60" s="7"/>
      <c r="K60" s="7"/>
      <c r="L60" s="7"/>
      <c r="M60" s="7"/>
      <c r="N60" s="7"/>
      <c r="O60" s="7"/>
      <c r="P60" s="7"/>
      <c r="Q60" s="7"/>
      <c r="R60" s="7"/>
      <c r="S60" s="7"/>
      <c r="T60" s="7"/>
      <c r="U60" s="7"/>
      <c r="V60" s="7"/>
      <c r="W60" s="7"/>
      <c r="X60" s="7"/>
      <c r="Y60" s="7"/>
      <c r="Z60" s="7"/>
    </row>
    <row r="61" spans="1:26" ht="16.5" customHeight="1" x14ac:dyDescent="0.25">
      <c r="A61" s="33">
        <f t="shared" ref="A61:B61" si="17">+A21</f>
        <v>0</v>
      </c>
      <c r="B61" s="220" t="str">
        <f t="shared" si="17"/>
        <v>PAU´E</v>
      </c>
      <c r="C61" s="221"/>
      <c r="D61" s="215">
        <f>+Datos!E20</f>
        <v>700000</v>
      </c>
      <c r="E61" s="216"/>
      <c r="F61" s="7"/>
      <c r="G61" s="7"/>
      <c r="H61" s="7"/>
      <c r="I61" s="7"/>
      <c r="J61" s="7"/>
      <c r="K61" s="7"/>
      <c r="L61" s="7"/>
      <c r="M61" s="7"/>
      <c r="N61" s="7"/>
      <c r="O61" s="7"/>
      <c r="P61" s="7"/>
      <c r="Q61" s="7"/>
      <c r="R61" s="7"/>
      <c r="S61" s="7"/>
      <c r="T61" s="7"/>
      <c r="U61" s="7"/>
      <c r="V61" s="7"/>
      <c r="W61" s="7"/>
      <c r="X61" s="7"/>
      <c r="Y61" s="7"/>
      <c r="Z61" s="7"/>
    </row>
    <row r="62" spans="1:26" ht="24" customHeight="1" x14ac:dyDescent="0.25">
      <c r="A62" s="35"/>
      <c r="B62" s="36"/>
      <c r="C62" s="37" t="s">
        <v>26</v>
      </c>
      <c r="D62" s="38">
        <f>SUM(D45:D61)</f>
        <v>21340000</v>
      </c>
      <c r="E62" s="39"/>
      <c r="F62" s="7"/>
      <c r="G62" s="7"/>
      <c r="H62" s="7"/>
      <c r="I62" s="7"/>
      <c r="J62" s="7"/>
      <c r="K62" s="7"/>
      <c r="L62" s="7"/>
      <c r="M62" s="7"/>
      <c r="N62" s="7"/>
      <c r="O62" s="7"/>
      <c r="P62" s="7"/>
      <c r="Q62" s="7"/>
      <c r="R62" s="7"/>
      <c r="S62" s="7"/>
      <c r="T62" s="7"/>
      <c r="U62" s="7"/>
      <c r="V62" s="7"/>
      <c r="W62" s="7"/>
      <c r="X62" s="7"/>
      <c r="Y62" s="7"/>
      <c r="Z62" s="7"/>
    </row>
    <row r="63" spans="1:26" ht="14.25" customHeight="1" x14ac:dyDescent="0.25">
      <c r="A63" s="23"/>
      <c r="B63" s="24"/>
      <c r="C63" s="40"/>
      <c r="D63" s="41"/>
      <c r="E63" s="42"/>
    </row>
    <row r="64" spans="1:26" ht="14.25" customHeight="1" x14ac:dyDescent="0.25">
      <c r="A64" s="23"/>
      <c r="B64" s="24"/>
      <c r="C64" s="25"/>
    </row>
    <row r="65" spans="1:3" ht="14.25" customHeight="1" x14ac:dyDescent="0.25">
      <c r="A65" s="23"/>
      <c r="B65" s="24"/>
      <c r="C65" s="25"/>
    </row>
    <row r="66" spans="1:3" ht="14.25" customHeight="1" x14ac:dyDescent="0.25">
      <c r="A66" s="23"/>
      <c r="B66" s="24"/>
      <c r="C66" s="25"/>
    </row>
    <row r="67" spans="1:3" ht="14.25" customHeight="1" x14ac:dyDescent="0.25">
      <c r="A67" s="23"/>
      <c r="B67" s="24"/>
      <c r="C67" s="25"/>
    </row>
    <row r="68" spans="1:3" ht="14.25" customHeight="1" x14ac:dyDescent="0.25">
      <c r="A68" s="23"/>
      <c r="B68" s="24"/>
      <c r="C68" s="25"/>
    </row>
    <row r="69" spans="1:3" ht="14.25" customHeight="1" x14ac:dyDescent="0.25">
      <c r="A69" s="23"/>
      <c r="B69" s="24"/>
      <c r="C69" s="25"/>
    </row>
    <row r="70" spans="1:3" ht="14.25" customHeight="1" x14ac:dyDescent="0.25">
      <c r="A70" s="23"/>
      <c r="B70" s="24"/>
      <c r="C70" s="25"/>
    </row>
    <row r="71" spans="1:3" ht="14.25" customHeight="1" x14ac:dyDescent="0.25">
      <c r="A71" s="23"/>
      <c r="B71" s="24"/>
      <c r="C71" s="25"/>
    </row>
    <row r="72" spans="1:3" ht="14.25" customHeight="1" x14ac:dyDescent="0.25">
      <c r="A72" s="23"/>
      <c r="B72" s="24"/>
      <c r="C72" s="25"/>
    </row>
    <row r="73" spans="1:3" ht="14.25" customHeight="1" x14ac:dyDescent="0.25">
      <c r="A73" s="23"/>
      <c r="B73" s="24"/>
      <c r="C73" s="25"/>
    </row>
    <row r="74" spans="1:3" ht="14.25" customHeight="1" x14ac:dyDescent="0.25">
      <c r="A74" s="23"/>
      <c r="B74" s="24"/>
      <c r="C74" s="25"/>
    </row>
    <row r="75" spans="1:3" ht="14.25" customHeight="1" x14ac:dyDescent="0.25">
      <c r="A75" s="23"/>
      <c r="B75" s="24"/>
      <c r="C75" s="25"/>
    </row>
    <row r="76" spans="1:3" ht="14.25" customHeight="1" x14ac:dyDescent="0.25">
      <c r="A76" s="23"/>
      <c r="B76" s="24"/>
      <c r="C76" s="25"/>
    </row>
    <row r="77" spans="1:3" ht="14.25" customHeight="1" x14ac:dyDescent="0.25">
      <c r="A77" s="23"/>
      <c r="B77" s="24"/>
      <c r="C77" s="25"/>
    </row>
    <row r="78" spans="1:3" ht="14.25" customHeight="1" x14ac:dyDescent="0.25">
      <c r="A78" s="23"/>
      <c r="B78" s="24"/>
      <c r="C78" s="25"/>
    </row>
    <row r="79" spans="1:3" ht="14.25" customHeight="1" x14ac:dyDescent="0.25">
      <c r="A79" s="23"/>
      <c r="B79" s="24"/>
      <c r="C79" s="25"/>
    </row>
    <row r="80" spans="1:3" ht="14.25" customHeight="1" x14ac:dyDescent="0.25">
      <c r="A80" s="23"/>
      <c r="B80" s="24"/>
      <c r="C80" s="25"/>
    </row>
    <row r="81" spans="1:3" ht="14.25" customHeight="1" x14ac:dyDescent="0.25">
      <c r="A81" s="23"/>
      <c r="B81" s="24"/>
      <c r="C81" s="25"/>
    </row>
    <row r="82" spans="1:3" ht="14.25" customHeight="1" x14ac:dyDescent="0.25">
      <c r="A82" s="23"/>
      <c r="B82" s="24"/>
      <c r="C82" s="25"/>
    </row>
    <row r="83" spans="1:3" ht="14.25" customHeight="1" x14ac:dyDescent="0.25">
      <c r="A83" s="23"/>
      <c r="B83" s="24"/>
      <c r="C83" s="25"/>
    </row>
    <row r="84" spans="1:3" ht="14.25" customHeight="1" x14ac:dyDescent="0.25">
      <c r="A84" s="23"/>
      <c r="B84" s="24"/>
      <c r="C84" s="25"/>
    </row>
    <row r="85" spans="1:3" ht="14.25" customHeight="1" x14ac:dyDescent="0.25">
      <c r="A85" s="23"/>
      <c r="B85" s="24"/>
      <c r="C85" s="25"/>
    </row>
    <row r="86" spans="1:3" ht="14.25" customHeight="1" x14ac:dyDescent="0.25">
      <c r="A86" s="23"/>
      <c r="B86" s="24"/>
      <c r="C86" s="25"/>
    </row>
    <row r="87" spans="1:3" ht="14.25" customHeight="1" x14ac:dyDescent="0.25">
      <c r="A87" s="23"/>
      <c r="B87" s="24"/>
      <c r="C87" s="25"/>
    </row>
    <row r="88" spans="1:3" ht="14.25" customHeight="1" x14ac:dyDescent="0.25">
      <c r="A88" s="23"/>
      <c r="B88" s="24"/>
      <c r="C88" s="25"/>
    </row>
    <row r="89" spans="1:3" ht="14.25" customHeight="1" x14ac:dyDescent="0.25">
      <c r="A89" s="23"/>
      <c r="B89" s="24"/>
      <c r="C89" s="25"/>
    </row>
    <row r="90" spans="1:3" ht="14.25" customHeight="1" x14ac:dyDescent="0.25">
      <c r="A90" s="23"/>
      <c r="B90" s="24"/>
      <c r="C90" s="25"/>
    </row>
    <row r="91" spans="1:3" ht="14.25" customHeight="1" x14ac:dyDescent="0.25">
      <c r="A91" s="23"/>
      <c r="B91" s="24"/>
      <c r="C91" s="25"/>
    </row>
    <row r="92" spans="1:3" ht="14.25" customHeight="1" x14ac:dyDescent="0.25">
      <c r="A92" s="23"/>
      <c r="B92" s="24"/>
      <c r="C92" s="25"/>
    </row>
    <row r="93" spans="1:3" ht="14.25" customHeight="1" x14ac:dyDescent="0.25">
      <c r="A93" s="23"/>
      <c r="B93" s="24"/>
      <c r="C93" s="25"/>
    </row>
    <row r="94" spans="1:3" ht="14.25" customHeight="1" x14ac:dyDescent="0.25">
      <c r="A94" s="23"/>
      <c r="B94" s="24"/>
      <c r="C94" s="25"/>
    </row>
    <row r="95" spans="1:3" ht="14.25" customHeight="1" x14ac:dyDescent="0.25">
      <c r="A95" s="23"/>
      <c r="B95" s="24"/>
      <c r="C95" s="25"/>
    </row>
    <row r="96" spans="1:3" ht="14.25" customHeight="1" x14ac:dyDescent="0.25">
      <c r="A96" s="23"/>
      <c r="B96" s="24"/>
      <c r="C96" s="25"/>
    </row>
    <row r="97" spans="1:3" ht="14.25" customHeight="1" x14ac:dyDescent="0.25">
      <c r="A97" s="23"/>
      <c r="B97" s="24"/>
      <c r="C97" s="25"/>
    </row>
    <row r="98" spans="1:3" ht="14.25" customHeight="1" x14ac:dyDescent="0.25">
      <c r="A98" s="23"/>
      <c r="B98" s="24"/>
      <c r="C98" s="25"/>
    </row>
    <row r="99" spans="1:3" ht="14.25" customHeight="1" x14ac:dyDescent="0.25">
      <c r="A99" s="23"/>
      <c r="B99" s="24"/>
      <c r="C99" s="25"/>
    </row>
    <row r="100" spans="1:3" ht="14.25" customHeight="1" x14ac:dyDescent="0.25">
      <c r="A100" s="23"/>
      <c r="B100" s="24"/>
      <c r="C100" s="25"/>
    </row>
    <row r="101" spans="1:3" ht="14.25" customHeight="1" x14ac:dyDescent="0.25">
      <c r="A101" s="23"/>
      <c r="B101" s="24"/>
      <c r="C101" s="25"/>
    </row>
    <row r="102" spans="1:3" ht="14.25" customHeight="1" x14ac:dyDescent="0.25">
      <c r="A102" s="23"/>
      <c r="B102" s="24"/>
      <c r="C102" s="25"/>
    </row>
    <row r="103" spans="1:3" ht="14.25" customHeight="1" x14ac:dyDescent="0.25">
      <c r="A103" s="23"/>
      <c r="B103" s="24"/>
      <c r="C103" s="25"/>
    </row>
    <row r="104" spans="1:3" ht="14.25" customHeight="1" x14ac:dyDescent="0.25">
      <c r="A104" s="23"/>
      <c r="B104" s="24"/>
      <c r="C104" s="25"/>
    </row>
    <row r="105" spans="1:3" ht="14.25" customHeight="1" x14ac:dyDescent="0.25">
      <c r="A105" s="23"/>
      <c r="B105" s="24"/>
      <c r="C105" s="25"/>
    </row>
    <row r="106" spans="1:3" ht="14.25" customHeight="1" x14ac:dyDescent="0.25">
      <c r="A106" s="23"/>
      <c r="B106" s="24"/>
      <c r="C106" s="25"/>
    </row>
    <row r="107" spans="1:3" ht="14.25" customHeight="1" x14ac:dyDescent="0.25">
      <c r="A107" s="23"/>
      <c r="B107" s="24"/>
      <c r="C107" s="25"/>
    </row>
    <row r="108" spans="1:3" ht="14.25" customHeight="1" x14ac:dyDescent="0.25">
      <c r="A108" s="23"/>
      <c r="B108" s="24"/>
      <c r="C108" s="25"/>
    </row>
    <row r="109" spans="1:3" ht="14.25" customHeight="1" x14ac:dyDescent="0.25">
      <c r="A109" s="23"/>
      <c r="B109" s="24"/>
      <c r="C109" s="25"/>
    </row>
    <row r="110" spans="1:3" ht="14.25" customHeight="1" x14ac:dyDescent="0.25">
      <c r="A110" s="23"/>
      <c r="B110" s="24"/>
      <c r="C110" s="25"/>
    </row>
    <row r="111" spans="1:3" ht="14.25" customHeight="1" x14ac:dyDescent="0.25">
      <c r="A111" s="23"/>
      <c r="B111" s="24"/>
      <c r="C111" s="25"/>
    </row>
    <row r="112" spans="1:3" ht="14.25" customHeight="1" x14ac:dyDescent="0.25">
      <c r="A112" s="23"/>
      <c r="B112" s="24"/>
      <c r="C112" s="25"/>
    </row>
    <row r="113" spans="1:3" ht="14.25" customHeight="1" x14ac:dyDescent="0.25">
      <c r="A113" s="23"/>
      <c r="B113" s="24"/>
      <c r="C113" s="25"/>
    </row>
    <row r="114" spans="1:3" ht="14.25" customHeight="1" x14ac:dyDescent="0.25">
      <c r="A114" s="23"/>
      <c r="B114" s="24"/>
      <c r="C114" s="25"/>
    </row>
    <row r="115" spans="1:3" ht="14.25" customHeight="1" x14ac:dyDescent="0.25">
      <c r="A115" s="23"/>
      <c r="B115" s="24"/>
      <c r="C115" s="25"/>
    </row>
    <row r="116" spans="1:3" ht="14.25" customHeight="1" x14ac:dyDescent="0.25">
      <c r="A116" s="23"/>
      <c r="B116" s="24"/>
      <c r="C116" s="25"/>
    </row>
    <row r="117" spans="1:3" ht="14.25" customHeight="1" x14ac:dyDescent="0.25">
      <c r="A117" s="23"/>
      <c r="B117" s="24"/>
      <c r="C117" s="25"/>
    </row>
    <row r="118" spans="1:3" ht="14.25" customHeight="1" x14ac:dyDescent="0.25">
      <c r="A118" s="23"/>
      <c r="B118" s="24"/>
      <c r="C118" s="25"/>
    </row>
    <row r="119" spans="1:3" ht="14.25" customHeight="1" x14ac:dyDescent="0.25">
      <c r="A119" s="23"/>
      <c r="B119" s="24"/>
      <c r="C119" s="25"/>
    </row>
    <row r="120" spans="1:3" ht="14.25" customHeight="1" x14ac:dyDescent="0.25">
      <c r="A120" s="23"/>
      <c r="B120" s="24"/>
      <c r="C120" s="25"/>
    </row>
    <row r="121" spans="1:3" ht="14.25" customHeight="1" x14ac:dyDescent="0.25">
      <c r="A121" s="23"/>
      <c r="B121" s="24"/>
      <c r="C121" s="25"/>
    </row>
    <row r="122" spans="1:3" ht="14.25" customHeight="1" x14ac:dyDescent="0.25">
      <c r="A122" s="23"/>
      <c r="B122" s="24"/>
      <c r="C122" s="25"/>
    </row>
    <row r="123" spans="1:3" ht="14.25" customHeight="1" x14ac:dyDescent="0.25">
      <c r="A123" s="23"/>
      <c r="B123" s="24"/>
      <c r="C123" s="25"/>
    </row>
    <row r="124" spans="1:3" ht="14.25" customHeight="1" x14ac:dyDescent="0.25">
      <c r="A124" s="23"/>
      <c r="B124" s="24"/>
      <c r="C124" s="25"/>
    </row>
    <row r="125" spans="1:3" ht="14.25" customHeight="1" x14ac:dyDescent="0.25">
      <c r="A125" s="23"/>
      <c r="B125" s="24"/>
      <c r="C125" s="25"/>
    </row>
    <row r="126" spans="1:3" ht="14.25" customHeight="1" x14ac:dyDescent="0.25">
      <c r="A126" s="23"/>
      <c r="B126" s="24"/>
      <c r="C126" s="25"/>
    </row>
    <row r="127" spans="1:3" ht="14.25" customHeight="1" x14ac:dyDescent="0.25">
      <c r="A127" s="23"/>
      <c r="B127" s="24"/>
      <c r="C127" s="25"/>
    </row>
    <row r="128" spans="1:3" ht="14.25" customHeight="1" x14ac:dyDescent="0.25">
      <c r="A128" s="23"/>
      <c r="B128" s="24"/>
      <c r="C128" s="25"/>
    </row>
    <row r="129" spans="1:3" ht="14.25" customHeight="1" x14ac:dyDescent="0.25">
      <c r="A129" s="23"/>
      <c r="B129" s="24"/>
      <c r="C129" s="25"/>
    </row>
    <row r="130" spans="1:3" ht="14.25" customHeight="1" x14ac:dyDescent="0.25">
      <c r="A130" s="23"/>
      <c r="B130" s="24"/>
      <c r="C130" s="25"/>
    </row>
    <row r="131" spans="1:3" ht="14.25" customHeight="1" x14ac:dyDescent="0.25">
      <c r="A131" s="23"/>
      <c r="B131" s="24"/>
      <c r="C131" s="25"/>
    </row>
    <row r="132" spans="1:3" ht="14.25" customHeight="1" x14ac:dyDescent="0.25">
      <c r="A132" s="23"/>
      <c r="B132" s="24"/>
      <c r="C132" s="25"/>
    </row>
    <row r="133" spans="1:3" ht="14.25" customHeight="1" x14ac:dyDescent="0.25">
      <c r="A133" s="23"/>
      <c r="B133" s="24"/>
      <c r="C133" s="25"/>
    </row>
    <row r="134" spans="1:3" ht="14.25" customHeight="1" x14ac:dyDescent="0.25">
      <c r="A134" s="23"/>
      <c r="B134" s="24"/>
      <c r="C134" s="25"/>
    </row>
    <row r="135" spans="1:3" ht="14.25" customHeight="1" x14ac:dyDescent="0.25">
      <c r="A135" s="23"/>
      <c r="B135" s="24"/>
      <c r="C135" s="25"/>
    </row>
    <row r="136" spans="1:3" ht="14.25" customHeight="1" x14ac:dyDescent="0.25">
      <c r="A136" s="23"/>
      <c r="B136" s="24"/>
      <c r="C136" s="25"/>
    </row>
    <row r="137" spans="1:3" ht="14.25" customHeight="1" x14ac:dyDescent="0.25">
      <c r="A137" s="23"/>
      <c r="B137" s="24"/>
      <c r="C137" s="25"/>
    </row>
    <row r="138" spans="1:3" ht="14.25" customHeight="1" x14ac:dyDescent="0.25">
      <c r="A138" s="23"/>
      <c r="B138" s="24"/>
      <c r="C138" s="25"/>
    </row>
    <row r="139" spans="1:3" ht="14.25" customHeight="1" x14ac:dyDescent="0.25">
      <c r="A139" s="23"/>
      <c r="B139" s="24"/>
      <c r="C139" s="25"/>
    </row>
    <row r="140" spans="1:3" ht="14.25" customHeight="1" x14ac:dyDescent="0.25">
      <c r="A140" s="23"/>
      <c r="B140" s="24"/>
      <c r="C140" s="25"/>
    </row>
    <row r="141" spans="1:3" ht="14.25" customHeight="1" x14ac:dyDescent="0.25">
      <c r="A141" s="23"/>
      <c r="B141" s="24"/>
      <c r="C141" s="25"/>
    </row>
    <row r="142" spans="1:3" ht="14.25" customHeight="1" x14ac:dyDescent="0.25">
      <c r="A142" s="23"/>
      <c r="B142" s="24"/>
      <c r="C142" s="25"/>
    </row>
    <row r="143" spans="1:3" ht="14.25" customHeight="1" x14ac:dyDescent="0.25">
      <c r="A143" s="23"/>
      <c r="B143" s="24"/>
      <c r="C143" s="25"/>
    </row>
    <row r="144" spans="1:3" ht="14.25" customHeight="1" x14ac:dyDescent="0.25">
      <c r="A144" s="23"/>
      <c r="B144" s="24"/>
      <c r="C144" s="25"/>
    </row>
    <row r="145" spans="1:3" ht="14.25" customHeight="1" x14ac:dyDescent="0.25">
      <c r="A145" s="23"/>
      <c r="B145" s="24"/>
      <c r="C145" s="25"/>
    </row>
    <row r="146" spans="1:3" ht="14.25" customHeight="1" x14ac:dyDescent="0.25">
      <c r="A146" s="23"/>
      <c r="B146" s="24"/>
      <c r="C146" s="25"/>
    </row>
    <row r="147" spans="1:3" ht="14.25" customHeight="1" x14ac:dyDescent="0.25">
      <c r="A147" s="23"/>
      <c r="B147" s="24"/>
      <c r="C147" s="25"/>
    </row>
    <row r="148" spans="1:3" ht="14.25" customHeight="1" x14ac:dyDescent="0.25">
      <c r="A148" s="23"/>
      <c r="B148" s="24"/>
      <c r="C148" s="25"/>
    </row>
    <row r="149" spans="1:3" ht="14.25" customHeight="1" x14ac:dyDescent="0.25">
      <c r="A149" s="23"/>
      <c r="B149" s="24"/>
      <c r="C149" s="25"/>
    </row>
    <row r="150" spans="1:3" ht="14.25" customHeight="1" x14ac:dyDescent="0.25">
      <c r="A150" s="23"/>
      <c r="B150" s="24"/>
      <c r="C150" s="25"/>
    </row>
    <row r="151" spans="1:3" ht="14.25" customHeight="1" x14ac:dyDescent="0.25">
      <c r="A151" s="23"/>
      <c r="B151" s="24"/>
      <c r="C151" s="25"/>
    </row>
    <row r="152" spans="1:3" ht="14.25" customHeight="1" x14ac:dyDescent="0.25">
      <c r="A152" s="23"/>
      <c r="B152" s="24"/>
      <c r="C152" s="25"/>
    </row>
    <row r="153" spans="1:3" ht="14.25" customHeight="1" x14ac:dyDescent="0.25">
      <c r="A153" s="23"/>
      <c r="B153" s="24"/>
      <c r="C153" s="25"/>
    </row>
    <row r="154" spans="1:3" ht="14.25" customHeight="1" x14ac:dyDescent="0.25">
      <c r="A154" s="23"/>
      <c r="B154" s="24"/>
      <c r="C154" s="25"/>
    </row>
    <row r="155" spans="1:3" ht="14.25" customHeight="1" x14ac:dyDescent="0.25">
      <c r="A155" s="23"/>
      <c r="B155" s="24"/>
      <c r="C155" s="25"/>
    </row>
    <row r="156" spans="1:3" ht="14.25" customHeight="1" x14ac:dyDescent="0.25">
      <c r="A156" s="23"/>
      <c r="B156" s="24"/>
      <c r="C156" s="25"/>
    </row>
    <row r="157" spans="1:3" ht="14.25" customHeight="1" x14ac:dyDescent="0.25">
      <c r="A157" s="23"/>
      <c r="B157" s="24"/>
      <c r="C157" s="25"/>
    </row>
    <row r="158" spans="1:3" ht="14.25" customHeight="1" x14ac:dyDescent="0.25">
      <c r="A158" s="23"/>
      <c r="B158" s="24"/>
      <c r="C158" s="25"/>
    </row>
    <row r="159" spans="1:3" ht="14.25" customHeight="1" x14ac:dyDescent="0.25">
      <c r="A159" s="23"/>
      <c r="B159" s="24"/>
      <c r="C159" s="25"/>
    </row>
    <row r="160" spans="1:3" ht="14.25" customHeight="1" x14ac:dyDescent="0.25">
      <c r="A160" s="23"/>
      <c r="B160" s="24"/>
      <c r="C160" s="25"/>
    </row>
    <row r="161" spans="1:3" ht="14.25" customHeight="1" x14ac:dyDescent="0.25">
      <c r="A161" s="23"/>
      <c r="B161" s="24"/>
      <c r="C161" s="25"/>
    </row>
    <row r="162" spans="1:3" ht="14.25" customHeight="1" x14ac:dyDescent="0.25">
      <c r="A162" s="23"/>
      <c r="B162" s="24"/>
      <c r="C162" s="25"/>
    </row>
    <row r="163" spans="1:3" ht="14.25" customHeight="1" x14ac:dyDescent="0.25">
      <c r="A163" s="23"/>
      <c r="B163" s="24"/>
      <c r="C163" s="25"/>
    </row>
    <row r="164" spans="1:3" ht="14.25" customHeight="1" x14ac:dyDescent="0.25">
      <c r="A164" s="23"/>
      <c r="B164" s="24"/>
      <c r="C164" s="25"/>
    </row>
    <row r="165" spans="1:3" ht="14.25" customHeight="1" x14ac:dyDescent="0.25">
      <c r="A165" s="23"/>
      <c r="B165" s="24"/>
      <c r="C165" s="25"/>
    </row>
    <row r="166" spans="1:3" ht="14.25" customHeight="1" x14ac:dyDescent="0.25">
      <c r="A166" s="23"/>
      <c r="B166" s="24"/>
      <c r="C166" s="25"/>
    </row>
    <row r="167" spans="1:3" ht="14.25" customHeight="1" x14ac:dyDescent="0.25">
      <c r="A167" s="23"/>
      <c r="B167" s="24"/>
      <c r="C167" s="25"/>
    </row>
    <row r="168" spans="1:3" ht="14.25" customHeight="1" x14ac:dyDescent="0.25">
      <c r="A168" s="23"/>
      <c r="B168" s="24"/>
      <c r="C168" s="25"/>
    </row>
    <row r="169" spans="1:3" ht="14.25" customHeight="1" x14ac:dyDescent="0.25">
      <c r="A169" s="23"/>
      <c r="B169" s="24"/>
      <c r="C169" s="25"/>
    </row>
    <row r="170" spans="1:3" ht="14.25" customHeight="1" x14ac:dyDescent="0.25">
      <c r="A170" s="23"/>
      <c r="B170" s="24"/>
      <c r="C170" s="25"/>
    </row>
    <row r="171" spans="1:3" ht="14.25" customHeight="1" x14ac:dyDescent="0.25">
      <c r="A171" s="23"/>
      <c r="B171" s="24"/>
      <c r="C171" s="25"/>
    </row>
    <row r="172" spans="1:3" ht="14.25" customHeight="1" x14ac:dyDescent="0.25">
      <c r="A172" s="23"/>
      <c r="B172" s="24"/>
      <c r="C172" s="25"/>
    </row>
    <row r="173" spans="1:3" ht="14.25" customHeight="1" x14ac:dyDescent="0.25">
      <c r="A173" s="23"/>
      <c r="B173" s="24"/>
      <c r="C173" s="25"/>
    </row>
    <row r="174" spans="1:3" ht="14.25" customHeight="1" x14ac:dyDescent="0.25">
      <c r="A174" s="23"/>
      <c r="B174" s="24"/>
      <c r="C174" s="25"/>
    </row>
    <row r="175" spans="1:3" ht="14.25" customHeight="1" x14ac:dyDescent="0.25">
      <c r="A175" s="23"/>
      <c r="B175" s="24"/>
      <c r="C175" s="25"/>
    </row>
    <row r="176" spans="1:3" ht="14.25" customHeight="1" x14ac:dyDescent="0.25">
      <c r="A176" s="23"/>
      <c r="B176" s="24"/>
      <c r="C176" s="25"/>
    </row>
    <row r="177" spans="1:3" ht="14.25" customHeight="1" x14ac:dyDescent="0.25">
      <c r="A177" s="23"/>
      <c r="B177" s="24"/>
      <c r="C177" s="25"/>
    </row>
    <row r="178" spans="1:3" ht="14.25" customHeight="1" x14ac:dyDescent="0.25">
      <c r="A178" s="23"/>
      <c r="B178" s="24"/>
      <c r="C178" s="25"/>
    </row>
    <row r="179" spans="1:3" ht="14.25" customHeight="1" x14ac:dyDescent="0.25">
      <c r="A179" s="23"/>
      <c r="B179" s="24"/>
      <c r="C179" s="25"/>
    </row>
    <row r="180" spans="1:3" ht="14.25" customHeight="1" x14ac:dyDescent="0.25">
      <c r="A180" s="23"/>
      <c r="B180" s="24"/>
      <c r="C180" s="25"/>
    </row>
    <row r="181" spans="1:3" ht="14.25" customHeight="1" x14ac:dyDescent="0.25">
      <c r="A181" s="23"/>
      <c r="B181" s="24"/>
      <c r="C181" s="25"/>
    </row>
    <row r="182" spans="1:3" ht="14.25" customHeight="1" x14ac:dyDescent="0.25">
      <c r="A182" s="23"/>
      <c r="B182" s="24"/>
      <c r="C182" s="25"/>
    </row>
    <row r="183" spans="1:3" ht="14.25" customHeight="1" x14ac:dyDescent="0.25">
      <c r="A183" s="23"/>
      <c r="B183" s="24"/>
      <c r="C183" s="25"/>
    </row>
    <row r="184" spans="1:3" ht="14.25" customHeight="1" x14ac:dyDescent="0.25">
      <c r="A184" s="23"/>
      <c r="B184" s="24"/>
      <c r="C184" s="25"/>
    </row>
    <row r="185" spans="1:3" ht="14.25" customHeight="1" x14ac:dyDescent="0.25">
      <c r="A185" s="23"/>
      <c r="B185" s="24"/>
      <c r="C185" s="25"/>
    </row>
    <row r="186" spans="1:3" ht="14.25" customHeight="1" x14ac:dyDescent="0.25">
      <c r="A186" s="23"/>
      <c r="B186" s="24"/>
      <c r="C186" s="25"/>
    </row>
    <row r="187" spans="1:3" ht="14.25" customHeight="1" x14ac:dyDescent="0.25">
      <c r="A187" s="23"/>
      <c r="B187" s="24"/>
      <c r="C187" s="25"/>
    </row>
    <row r="188" spans="1:3" ht="14.25" customHeight="1" x14ac:dyDescent="0.25">
      <c r="A188" s="23"/>
      <c r="B188" s="24"/>
      <c r="C188" s="25"/>
    </row>
    <row r="189" spans="1:3" ht="14.25" customHeight="1" x14ac:dyDescent="0.25">
      <c r="A189" s="23"/>
      <c r="B189" s="24"/>
      <c r="C189" s="25"/>
    </row>
    <row r="190" spans="1:3" ht="14.25" customHeight="1" x14ac:dyDescent="0.25">
      <c r="A190" s="23"/>
      <c r="B190" s="24"/>
      <c r="C190" s="25"/>
    </row>
    <row r="191" spans="1:3" ht="14.25" customHeight="1" x14ac:dyDescent="0.25">
      <c r="A191" s="23"/>
      <c r="B191" s="24"/>
      <c r="C191" s="25"/>
    </row>
    <row r="192" spans="1:3" ht="14.25" customHeight="1" x14ac:dyDescent="0.25">
      <c r="A192" s="23"/>
      <c r="B192" s="24"/>
      <c r="C192" s="25"/>
    </row>
    <row r="193" spans="1:3" ht="14.25" customHeight="1" x14ac:dyDescent="0.25">
      <c r="A193" s="23"/>
      <c r="B193" s="24"/>
      <c r="C193" s="25"/>
    </row>
    <row r="194" spans="1:3" ht="14.25" customHeight="1" x14ac:dyDescent="0.25">
      <c r="A194" s="23"/>
      <c r="B194" s="24"/>
      <c r="C194" s="25"/>
    </row>
    <row r="195" spans="1:3" ht="14.25" customHeight="1" x14ac:dyDescent="0.25">
      <c r="A195" s="23"/>
      <c r="B195" s="24"/>
      <c r="C195" s="25"/>
    </row>
    <row r="196" spans="1:3" ht="14.25" customHeight="1" x14ac:dyDescent="0.25">
      <c r="A196" s="23"/>
      <c r="B196" s="24"/>
      <c r="C196" s="25"/>
    </row>
    <row r="197" spans="1:3" ht="14.25" customHeight="1" x14ac:dyDescent="0.25">
      <c r="A197" s="23"/>
      <c r="B197" s="24"/>
      <c r="C197" s="25"/>
    </row>
    <row r="198" spans="1:3" ht="14.25" customHeight="1" x14ac:dyDescent="0.25">
      <c r="A198" s="23"/>
      <c r="B198" s="24"/>
      <c r="C198" s="25"/>
    </row>
    <row r="199" spans="1:3" ht="14.25" customHeight="1" x14ac:dyDescent="0.25">
      <c r="A199" s="23"/>
      <c r="B199" s="24"/>
      <c r="C199" s="25"/>
    </row>
    <row r="200" spans="1:3" ht="14.25" customHeight="1" x14ac:dyDescent="0.25">
      <c r="A200" s="23"/>
      <c r="B200" s="24"/>
      <c r="C200" s="25"/>
    </row>
    <row r="201" spans="1:3" ht="14.25" customHeight="1" x14ac:dyDescent="0.25">
      <c r="A201" s="23"/>
      <c r="B201" s="24"/>
      <c r="C201" s="25"/>
    </row>
    <row r="202" spans="1:3" ht="14.25" customHeight="1" x14ac:dyDescent="0.25">
      <c r="A202" s="23"/>
      <c r="B202" s="24"/>
      <c r="C202" s="25"/>
    </row>
    <row r="203" spans="1:3" ht="14.25" customHeight="1" x14ac:dyDescent="0.25">
      <c r="A203" s="23"/>
      <c r="B203" s="24"/>
      <c r="C203" s="25"/>
    </row>
    <row r="204" spans="1:3" ht="14.25" customHeight="1" x14ac:dyDescent="0.25">
      <c r="A204" s="23"/>
      <c r="B204" s="24"/>
      <c r="C204" s="25"/>
    </row>
    <row r="205" spans="1:3" ht="14.25" customHeight="1" x14ac:dyDescent="0.25">
      <c r="A205" s="23"/>
      <c r="B205" s="24"/>
      <c r="C205" s="25"/>
    </row>
    <row r="206" spans="1:3" ht="14.25" customHeight="1" x14ac:dyDescent="0.25">
      <c r="A206" s="23"/>
      <c r="B206" s="24"/>
      <c r="C206" s="25"/>
    </row>
    <row r="207" spans="1:3" ht="14.25" customHeight="1" x14ac:dyDescent="0.25">
      <c r="A207" s="23"/>
      <c r="B207" s="24"/>
      <c r="C207" s="25"/>
    </row>
    <row r="208" spans="1:3" ht="14.25" customHeight="1" x14ac:dyDescent="0.25">
      <c r="A208" s="23"/>
      <c r="B208" s="24"/>
      <c r="C208" s="25"/>
    </row>
    <row r="209" spans="1:3" ht="14.25" customHeight="1" x14ac:dyDescent="0.25">
      <c r="A209" s="23"/>
      <c r="B209" s="24"/>
      <c r="C209" s="25"/>
    </row>
    <row r="210" spans="1:3" ht="14.25" customHeight="1" x14ac:dyDescent="0.25">
      <c r="A210" s="23"/>
      <c r="B210" s="24"/>
      <c r="C210" s="25"/>
    </row>
    <row r="211" spans="1:3" ht="14.25" customHeight="1" x14ac:dyDescent="0.25">
      <c r="A211" s="23"/>
      <c r="B211" s="24"/>
      <c r="C211" s="25"/>
    </row>
    <row r="212" spans="1:3" ht="14.25" customHeight="1" x14ac:dyDescent="0.25">
      <c r="A212" s="23"/>
      <c r="B212" s="24"/>
      <c r="C212" s="25"/>
    </row>
    <row r="213" spans="1:3" ht="14.25" customHeight="1" x14ac:dyDescent="0.25">
      <c r="A213" s="23"/>
      <c r="B213" s="24"/>
      <c r="C213" s="25"/>
    </row>
    <row r="214" spans="1:3" ht="14.25" customHeight="1" x14ac:dyDescent="0.25">
      <c r="A214" s="23"/>
      <c r="B214" s="24"/>
      <c r="C214" s="25"/>
    </row>
    <row r="215" spans="1:3" ht="14.25" customHeight="1" x14ac:dyDescent="0.25">
      <c r="A215" s="23"/>
      <c r="B215" s="24"/>
      <c r="C215" s="25"/>
    </row>
    <row r="216" spans="1:3" ht="14.25" customHeight="1" x14ac:dyDescent="0.25">
      <c r="A216" s="23"/>
      <c r="B216" s="24"/>
      <c r="C216" s="25"/>
    </row>
    <row r="217" spans="1:3" ht="14.25" customHeight="1" x14ac:dyDescent="0.25">
      <c r="A217" s="23"/>
      <c r="B217" s="24"/>
      <c r="C217" s="25"/>
    </row>
    <row r="218" spans="1:3" ht="14.25" customHeight="1" x14ac:dyDescent="0.25">
      <c r="A218" s="23"/>
      <c r="B218" s="24"/>
      <c r="C218" s="25"/>
    </row>
    <row r="219" spans="1:3" ht="14.25" customHeight="1" x14ac:dyDescent="0.25">
      <c r="A219" s="23"/>
      <c r="B219" s="24"/>
      <c r="C219" s="25"/>
    </row>
    <row r="220" spans="1:3" ht="14.25" customHeight="1" x14ac:dyDescent="0.25">
      <c r="A220" s="23"/>
      <c r="B220" s="24"/>
      <c r="C220" s="25"/>
    </row>
    <row r="221" spans="1:3" ht="14.25" customHeight="1" x14ac:dyDescent="0.25">
      <c r="A221" s="23"/>
      <c r="B221" s="24"/>
      <c r="C221" s="25"/>
    </row>
    <row r="222" spans="1:3" ht="14.25" customHeight="1" x14ac:dyDescent="0.25">
      <c r="A222" s="23"/>
      <c r="B222" s="24"/>
      <c r="C222" s="25"/>
    </row>
    <row r="223" spans="1:3" ht="14.25" customHeight="1" x14ac:dyDescent="0.25">
      <c r="A223" s="23"/>
      <c r="B223" s="24"/>
      <c r="C223" s="25"/>
    </row>
    <row r="224" spans="1:3" ht="14.25" customHeight="1" x14ac:dyDescent="0.25">
      <c r="A224" s="23"/>
      <c r="B224" s="24"/>
      <c r="C224" s="25"/>
    </row>
    <row r="225" spans="1:3" ht="14.25" customHeight="1" x14ac:dyDescent="0.25">
      <c r="A225" s="23"/>
      <c r="B225" s="24"/>
      <c r="C225" s="25"/>
    </row>
    <row r="226" spans="1:3" ht="14.25" customHeight="1" x14ac:dyDescent="0.25">
      <c r="A226" s="23"/>
      <c r="B226" s="24"/>
      <c r="C226" s="25"/>
    </row>
    <row r="227" spans="1:3" ht="14.25" customHeight="1" x14ac:dyDescent="0.25">
      <c r="A227" s="23"/>
      <c r="B227" s="24"/>
      <c r="C227" s="25"/>
    </row>
    <row r="228" spans="1:3" ht="14.25" customHeight="1" x14ac:dyDescent="0.25">
      <c r="A228" s="23"/>
      <c r="B228" s="24"/>
      <c r="C228" s="25"/>
    </row>
    <row r="229" spans="1:3" ht="14.25" customHeight="1" x14ac:dyDescent="0.25">
      <c r="A229" s="23"/>
      <c r="B229" s="24"/>
      <c r="C229" s="25"/>
    </row>
    <row r="230" spans="1:3" ht="14.25" customHeight="1" x14ac:dyDescent="0.25">
      <c r="A230" s="23"/>
      <c r="B230" s="24"/>
      <c r="C230" s="25"/>
    </row>
    <row r="231" spans="1:3" ht="14.25" customHeight="1" x14ac:dyDescent="0.25">
      <c r="A231" s="23"/>
      <c r="B231" s="24"/>
      <c r="C231" s="25"/>
    </row>
    <row r="232" spans="1:3" ht="14.25" customHeight="1" x14ac:dyDescent="0.25">
      <c r="A232" s="23"/>
      <c r="B232" s="24"/>
      <c r="C232" s="25"/>
    </row>
    <row r="233" spans="1:3" ht="14.25" customHeight="1" x14ac:dyDescent="0.25">
      <c r="A233" s="23"/>
      <c r="B233" s="24"/>
      <c r="C233" s="25"/>
    </row>
    <row r="234" spans="1:3" ht="14.25" customHeight="1" x14ac:dyDescent="0.25">
      <c r="A234" s="23"/>
      <c r="B234" s="24"/>
      <c r="C234" s="25"/>
    </row>
    <row r="235" spans="1:3" ht="14.25" customHeight="1" x14ac:dyDescent="0.25">
      <c r="A235" s="23"/>
      <c r="B235" s="24"/>
      <c r="C235" s="25"/>
    </row>
    <row r="236" spans="1:3" ht="14.25" customHeight="1" x14ac:dyDescent="0.25">
      <c r="A236" s="23"/>
      <c r="B236" s="24"/>
      <c r="C236" s="25"/>
    </row>
    <row r="237" spans="1:3" ht="14.25" customHeight="1" x14ac:dyDescent="0.25">
      <c r="A237" s="23"/>
      <c r="B237" s="24"/>
      <c r="C237" s="25"/>
    </row>
    <row r="238" spans="1:3" ht="14.25" customHeight="1" x14ac:dyDescent="0.25">
      <c r="A238" s="23"/>
      <c r="B238" s="24"/>
      <c r="C238" s="25"/>
    </row>
    <row r="239" spans="1:3" ht="14.25" customHeight="1" x14ac:dyDescent="0.25">
      <c r="A239" s="23"/>
      <c r="B239" s="24"/>
      <c r="C239" s="25"/>
    </row>
    <row r="240" spans="1:3" ht="14.25" customHeight="1" x14ac:dyDescent="0.25">
      <c r="A240" s="23"/>
      <c r="B240" s="24"/>
      <c r="C240" s="25"/>
    </row>
    <row r="241" spans="1:3" ht="14.25" customHeight="1" x14ac:dyDescent="0.25">
      <c r="A241" s="23"/>
      <c r="B241" s="24"/>
      <c r="C241" s="25"/>
    </row>
    <row r="242" spans="1:3" ht="14.25" customHeight="1" x14ac:dyDescent="0.25">
      <c r="A242" s="23"/>
      <c r="B242" s="24"/>
      <c r="C242" s="25"/>
    </row>
    <row r="243" spans="1:3" ht="14.25" customHeight="1" x14ac:dyDescent="0.25">
      <c r="A243" s="23"/>
      <c r="B243" s="24"/>
      <c r="C243" s="25"/>
    </row>
    <row r="244" spans="1:3" ht="14.25" customHeight="1" x14ac:dyDescent="0.25">
      <c r="A244" s="23"/>
      <c r="B244" s="24"/>
      <c r="C244" s="25"/>
    </row>
    <row r="245" spans="1:3" ht="14.25" customHeight="1" x14ac:dyDescent="0.25">
      <c r="A245" s="23"/>
      <c r="B245" s="24"/>
      <c r="C245" s="25"/>
    </row>
    <row r="246" spans="1:3" ht="14.25" customHeight="1" x14ac:dyDescent="0.25">
      <c r="A246" s="23"/>
      <c r="B246" s="24"/>
      <c r="C246" s="25"/>
    </row>
    <row r="247" spans="1:3" ht="14.25" customHeight="1" x14ac:dyDescent="0.25">
      <c r="A247" s="23"/>
      <c r="B247" s="24"/>
      <c r="C247" s="25"/>
    </row>
    <row r="248" spans="1:3" ht="14.25" customHeight="1" x14ac:dyDescent="0.25">
      <c r="A248" s="23"/>
      <c r="B248" s="24"/>
      <c r="C248" s="25"/>
    </row>
    <row r="249" spans="1:3" ht="14.25" customHeight="1" x14ac:dyDescent="0.25">
      <c r="A249" s="23"/>
      <c r="B249" s="24"/>
      <c r="C249" s="25"/>
    </row>
    <row r="250" spans="1:3" ht="14.25" customHeight="1" x14ac:dyDescent="0.25">
      <c r="A250" s="23"/>
      <c r="B250" s="24"/>
      <c r="C250" s="25"/>
    </row>
    <row r="251" spans="1:3" ht="14.25" customHeight="1" x14ac:dyDescent="0.25">
      <c r="A251" s="23"/>
      <c r="B251" s="24"/>
      <c r="C251" s="25"/>
    </row>
    <row r="252" spans="1:3" ht="14.25" customHeight="1" x14ac:dyDescent="0.25">
      <c r="A252" s="23"/>
      <c r="B252" s="24"/>
      <c r="C252" s="25"/>
    </row>
    <row r="253" spans="1:3" ht="14.25" customHeight="1" x14ac:dyDescent="0.25">
      <c r="A253" s="23"/>
      <c r="B253" s="24"/>
      <c r="C253" s="25"/>
    </row>
    <row r="254" spans="1:3" ht="14.25" customHeight="1" x14ac:dyDescent="0.25">
      <c r="A254" s="23"/>
      <c r="B254" s="24"/>
      <c r="C254" s="25"/>
    </row>
    <row r="255" spans="1:3" ht="14.25" customHeight="1" x14ac:dyDescent="0.25">
      <c r="A255" s="23"/>
      <c r="B255" s="24"/>
      <c r="C255" s="25"/>
    </row>
    <row r="256" spans="1:3" ht="14.25" customHeight="1" x14ac:dyDescent="0.25">
      <c r="A256" s="23"/>
      <c r="B256" s="24"/>
      <c r="C256" s="25"/>
    </row>
    <row r="257" spans="1:3" ht="14.25" customHeight="1" x14ac:dyDescent="0.25">
      <c r="A257" s="23"/>
      <c r="B257" s="24"/>
      <c r="C257" s="25"/>
    </row>
    <row r="258" spans="1:3" ht="14.25" customHeight="1" x14ac:dyDescent="0.25">
      <c r="A258" s="23"/>
      <c r="B258" s="24"/>
      <c r="C258" s="25"/>
    </row>
    <row r="259" spans="1:3" ht="14.25" customHeight="1" x14ac:dyDescent="0.25">
      <c r="A259" s="23"/>
      <c r="B259" s="24"/>
      <c r="C259" s="25"/>
    </row>
    <row r="260" spans="1:3" ht="14.25" customHeight="1" x14ac:dyDescent="0.25">
      <c r="A260" s="23"/>
      <c r="B260" s="24"/>
      <c r="C260" s="25"/>
    </row>
    <row r="261" spans="1:3" ht="14.25" customHeight="1" x14ac:dyDescent="0.25">
      <c r="A261" s="23"/>
      <c r="B261" s="24"/>
      <c r="C261" s="25"/>
    </row>
    <row r="262" spans="1:3" ht="14.25" customHeight="1" x14ac:dyDescent="0.25">
      <c r="A262" s="23"/>
      <c r="B262" s="24"/>
      <c r="C262" s="25"/>
    </row>
    <row r="263" spans="1:3" ht="15.75" customHeight="1" x14ac:dyDescent="0.25"/>
    <row r="264" spans="1:3" ht="15.75" customHeight="1" x14ac:dyDescent="0.25"/>
    <row r="265" spans="1:3" ht="15.75" customHeight="1" x14ac:dyDescent="0.25"/>
    <row r="266" spans="1:3" ht="15.75" customHeight="1" x14ac:dyDescent="0.25"/>
    <row r="267" spans="1:3" ht="15.75" customHeight="1" x14ac:dyDescent="0.25"/>
    <row r="268" spans="1:3" ht="15.75" customHeight="1" x14ac:dyDescent="0.25"/>
    <row r="269" spans="1:3" ht="15.75" customHeight="1" x14ac:dyDescent="0.25"/>
    <row r="270" spans="1:3" ht="15.75" customHeight="1" x14ac:dyDescent="0.25"/>
    <row r="271" spans="1:3" ht="15.75" customHeight="1" x14ac:dyDescent="0.25"/>
    <row r="272" spans="1:3"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1">
    <mergeCell ref="D54:E54"/>
    <mergeCell ref="B55:C55"/>
    <mergeCell ref="D55:E55"/>
    <mergeCell ref="B50:C50"/>
    <mergeCell ref="B51:C51"/>
    <mergeCell ref="B52:C52"/>
    <mergeCell ref="B53:C53"/>
    <mergeCell ref="B54:C54"/>
    <mergeCell ref="B45:C45"/>
    <mergeCell ref="B46:C46"/>
    <mergeCell ref="B47:C47"/>
    <mergeCell ref="B48:C48"/>
    <mergeCell ref="B49:C49"/>
    <mergeCell ref="A32:E35"/>
    <mergeCell ref="A37:E38"/>
    <mergeCell ref="A40:E41"/>
    <mergeCell ref="A43:A44"/>
    <mergeCell ref="D43:E43"/>
    <mergeCell ref="D44:E44"/>
    <mergeCell ref="B43:C44"/>
    <mergeCell ref="D21:E21"/>
    <mergeCell ref="D30:E31"/>
    <mergeCell ref="A22:C22"/>
    <mergeCell ref="A23:C23"/>
    <mergeCell ref="A24:C24"/>
    <mergeCell ref="A25:C25"/>
    <mergeCell ref="A26:C26"/>
    <mergeCell ref="A28:B28"/>
    <mergeCell ref="A30:A31"/>
    <mergeCell ref="B30:B31"/>
    <mergeCell ref="D16:E16"/>
    <mergeCell ref="D17:E17"/>
    <mergeCell ref="D18:E18"/>
    <mergeCell ref="D19:E19"/>
    <mergeCell ref="D20:E20"/>
    <mergeCell ref="D11:E11"/>
    <mergeCell ref="D12:E12"/>
    <mergeCell ref="D13:E13"/>
    <mergeCell ref="D14:E14"/>
    <mergeCell ref="D15:E15"/>
    <mergeCell ref="D6:E6"/>
    <mergeCell ref="D7:E7"/>
    <mergeCell ref="D8:E8"/>
    <mergeCell ref="D9:E9"/>
    <mergeCell ref="D10:E10"/>
    <mergeCell ref="A2:C2"/>
    <mergeCell ref="D2:E2"/>
    <mergeCell ref="B3:E3"/>
    <mergeCell ref="D4:E4"/>
    <mergeCell ref="D5:E5"/>
    <mergeCell ref="B56:C56"/>
    <mergeCell ref="D56:E56"/>
    <mergeCell ref="B57:C57"/>
    <mergeCell ref="D57:E57"/>
    <mergeCell ref="B58:C58"/>
    <mergeCell ref="D58:E58"/>
    <mergeCell ref="B59:C59"/>
    <mergeCell ref="B60:C60"/>
    <mergeCell ref="B61:C61"/>
    <mergeCell ref="D60:E60"/>
    <mergeCell ref="D61:E61"/>
    <mergeCell ref="D59:E59"/>
    <mergeCell ref="D52:E52"/>
    <mergeCell ref="D53:E53"/>
    <mergeCell ref="D45:E45"/>
    <mergeCell ref="D46:E46"/>
    <mergeCell ref="D47:E47"/>
    <mergeCell ref="D48:E48"/>
    <mergeCell ref="D49:E49"/>
    <mergeCell ref="D50:E50"/>
    <mergeCell ref="D51:E51"/>
  </mergeCells>
  <printOptions horizontalCentered="1"/>
  <pageMargins left="7.874015748031496E-2" right="7.874015748031496E-2" top="0.70866141732283461" bottom="0.15748031496062992" header="0" footer="0"/>
  <pageSetup paperSize="3" orientation="portrait"/>
  <headerFooter>
    <oddHeader>&amp;C The Experience Travel</oddHeader>
  </headerFooter>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'TARIFAS '!$A$3:$A$229</xm:f>
          </x14:formula1>
          <xm:sqref>B5:B21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M1000"/>
  <sheetViews>
    <sheetView workbookViewId="0"/>
  </sheetViews>
  <sheetFormatPr baseColWidth="10" defaultColWidth="14.42578125" defaultRowHeight="15" customHeight="1" x14ac:dyDescent="0.25"/>
  <cols>
    <col min="1" max="2" width="11.42578125" customWidth="1"/>
    <col min="3" max="3" width="14.5703125" customWidth="1"/>
    <col min="4" max="4" width="11.140625" customWidth="1"/>
    <col min="5" max="5" width="1.42578125" customWidth="1"/>
    <col min="6" max="6" width="17.42578125" customWidth="1"/>
    <col min="7" max="7" width="14.7109375" customWidth="1"/>
    <col min="8" max="8" width="2.140625" customWidth="1"/>
    <col min="9" max="9" width="21" customWidth="1"/>
    <col min="10" max="10" width="8.5703125" customWidth="1"/>
    <col min="11" max="11" width="12.85546875" customWidth="1"/>
    <col min="12" max="13" width="11.42578125" customWidth="1"/>
  </cols>
  <sheetData>
    <row r="1" spans="1:13" ht="14.25" customHeight="1" x14ac:dyDescent="0.25">
      <c r="A1" s="43"/>
      <c r="B1" s="43"/>
      <c r="C1" s="43"/>
      <c r="D1" s="43"/>
      <c r="E1" s="43"/>
      <c r="F1" s="43"/>
      <c r="G1" s="43"/>
      <c r="H1" s="43"/>
      <c r="I1" s="43"/>
      <c r="J1" s="43"/>
      <c r="K1" s="43"/>
      <c r="L1" s="43"/>
      <c r="M1" s="43"/>
    </row>
    <row r="2" spans="1:13" ht="14.25" customHeight="1" x14ac:dyDescent="0.25">
      <c r="A2" s="43"/>
      <c r="B2" s="269"/>
      <c r="C2" s="270"/>
      <c r="D2" s="270"/>
      <c r="E2" s="270"/>
      <c r="F2" s="270"/>
      <c r="G2" s="270"/>
      <c r="H2" s="270"/>
      <c r="I2" s="270"/>
      <c r="J2" s="270"/>
      <c r="K2" s="271"/>
      <c r="L2" s="43"/>
      <c r="M2" s="43"/>
    </row>
    <row r="3" spans="1:13" ht="14.25" customHeight="1" x14ac:dyDescent="0.25">
      <c r="A3" s="43"/>
      <c r="B3" s="272"/>
      <c r="C3" s="273"/>
      <c r="D3" s="273"/>
      <c r="E3" s="273"/>
      <c r="F3" s="273"/>
      <c r="G3" s="273"/>
      <c r="H3" s="273"/>
      <c r="I3" s="273"/>
      <c r="J3" s="273"/>
      <c r="K3" s="274"/>
      <c r="L3" s="43"/>
      <c r="M3" s="43"/>
    </row>
    <row r="4" spans="1:13" ht="14.25" customHeight="1" x14ac:dyDescent="0.25">
      <c r="A4" s="43"/>
      <c r="B4" s="275"/>
      <c r="C4" s="276"/>
      <c r="D4" s="276"/>
      <c r="E4" s="276"/>
      <c r="F4" s="276"/>
      <c r="G4" s="276"/>
      <c r="H4" s="276"/>
      <c r="I4" s="276"/>
      <c r="J4" s="276"/>
      <c r="K4" s="277"/>
      <c r="L4" s="43"/>
      <c r="M4" s="43"/>
    </row>
    <row r="5" spans="1:13" ht="17.25" customHeight="1" x14ac:dyDescent="0.25">
      <c r="A5" s="43"/>
      <c r="B5" s="278" t="s">
        <v>27</v>
      </c>
      <c r="C5" s="279"/>
      <c r="D5" s="279"/>
      <c r="E5" s="279"/>
      <c r="F5" s="279"/>
      <c r="G5" s="279"/>
      <c r="H5" s="279"/>
      <c r="I5" s="279"/>
      <c r="J5" s="279"/>
      <c r="K5" s="280"/>
      <c r="L5" s="43"/>
      <c r="M5" s="43"/>
    </row>
    <row r="6" spans="1:13" ht="9" customHeight="1" x14ac:dyDescent="0.25">
      <c r="A6" s="43"/>
      <c r="B6" s="281"/>
      <c r="C6" s="221"/>
      <c r="D6" s="221"/>
      <c r="E6" s="221"/>
      <c r="F6" s="221"/>
      <c r="G6" s="221"/>
      <c r="H6" s="221"/>
      <c r="I6" s="221"/>
      <c r="J6" s="221"/>
      <c r="K6" s="266"/>
      <c r="L6" s="43"/>
      <c r="M6" s="43"/>
    </row>
    <row r="7" spans="1:13" ht="1.5" customHeight="1" x14ac:dyDescent="0.25">
      <c r="A7" s="43"/>
      <c r="B7" s="275"/>
      <c r="C7" s="276"/>
      <c r="D7" s="276"/>
      <c r="E7" s="276"/>
      <c r="F7" s="276"/>
      <c r="G7" s="276"/>
      <c r="H7" s="276"/>
      <c r="I7" s="276"/>
      <c r="J7" s="276"/>
      <c r="K7" s="277"/>
      <c r="L7" s="43"/>
      <c r="M7" s="43"/>
    </row>
    <row r="8" spans="1:13" ht="14.25" customHeight="1" x14ac:dyDescent="0.25">
      <c r="A8" s="43"/>
      <c r="B8" s="44"/>
      <c r="K8" s="45"/>
      <c r="L8" s="43"/>
      <c r="M8" s="43"/>
    </row>
    <row r="9" spans="1:13" ht="21" customHeight="1" x14ac:dyDescent="0.4">
      <c r="A9" s="43"/>
      <c r="B9" s="282" t="s">
        <v>0</v>
      </c>
      <c r="C9" s="221"/>
      <c r="D9" s="283">
        <f>'CONF '!$B$3</f>
        <v>0</v>
      </c>
      <c r="E9" s="221"/>
      <c r="F9" s="221"/>
      <c r="G9" s="221"/>
      <c r="H9" s="221"/>
      <c r="I9" s="221"/>
      <c r="J9" s="46"/>
      <c r="K9" s="47"/>
      <c r="L9" s="43"/>
      <c r="M9" s="43"/>
    </row>
    <row r="10" spans="1:13" ht="6.75" customHeight="1" x14ac:dyDescent="0.35">
      <c r="A10" s="43"/>
      <c r="B10" s="48"/>
      <c r="C10" s="46"/>
      <c r="D10" s="46"/>
      <c r="E10" s="46"/>
      <c r="F10" s="46"/>
      <c r="G10" s="46"/>
      <c r="H10" s="46"/>
      <c r="I10" s="46"/>
      <c r="J10" s="46"/>
      <c r="K10" s="47"/>
      <c r="L10" s="43"/>
      <c r="M10" s="43"/>
    </row>
    <row r="11" spans="1:13" ht="19.5" customHeight="1" x14ac:dyDescent="0.35">
      <c r="A11" s="43"/>
      <c r="B11" s="284">
        <f>+'CONF '!$D$2</f>
        <v>2</v>
      </c>
      <c r="C11" s="221"/>
      <c r="D11" s="221"/>
      <c r="E11" s="46"/>
      <c r="F11" s="46"/>
      <c r="G11" s="46"/>
      <c r="H11" s="46"/>
      <c r="I11" s="46"/>
      <c r="J11" s="46"/>
      <c r="K11" s="47"/>
      <c r="L11" s="43"/>
      <c r="M11" s="43"/>
    </row>
    <row r="12" spans="1:13" ht="6.75" customHeight="1" x14ac:dyDescent="0.35">
      <c r="A12" s="43"/>
      <c r="B12" s="44"/>
      <c r="C12" s="46"/>
      <c r="D12" s="46"/>
      <c r="E12" s="46"/>
      <c r="F12" s="46"/>
      <c r="G12" s="46"/>
      <c r="H12" s="46"/>
      <c r="I12" s="46"/>
      <c r="J12" s="46"/>
      <c r="K12" s="47"/>
      <c r="L12" s="43"/>
      <c r="M12" s="43"/>
    </row>
    <row r="13" spans="1:13" ht="15.75" customHeight="1" x14ac:dyDescent="0.35">
      <c r="A13" s="43"/>
      <c r="B13" s="49" t="s">
        <v>28</v>
      </c>
      <c r="C13" s="50">
        <f>+'CONF '!A5</f>
        <v>45781</v>
      </c>
      <c r="D13" s="51"/>
      <c r="E13" s="46"/>
      <c r="F13" s="52" t="s">
        <v>29</v>
      </c>
      <c r="G13" s="53">
        <f>+VLOOKUP(C15,'TARIFAS '!$A$3:$O$239,10,FALSE)</f>
        <v>0</v>
      </c>
      <c r="H13" s="46"/>
      <c r="I13" s="46"/>
      <c r="J13" s="46"/>
      <c r="K13" s="47"/>
      <c r="L13" s="43"/>
      <c r="M13" s="43"/>
    </row>
    <row r="14" spans="1:13" ht="12" customHeight="1" x14ac:dyDescent="0.35">
      <c r="A14" s="43"/>
      <c r="B14" s="54"/>
      <c r="C14" s="55"/>
      <c r="D14" s="56"/>
      <c r="E14" s="46"/>
      <c r="F14" s="57"/>
      <c r="G14" s="56"/>
      <c r="H14" s="46"/>
      <c r="I14" s="46"/>
      <c r="J14" s="46"/>
      <c r="K14" s="47"/>
      <c r="L14" s="43"/>
      <c r="M14" s="43"/>
    </row>
    <row r="15" spans="1:13" ht="14.25" customHeight="1" x14ac:dyDescent="0.35">
      <c r="A15" s="43"/>
      <c r="B15" s="285" t="s">
        <v>30</v>
      </c>
      <c r="C15" s="287" t="str">
        <f>+'CONF '!B5</f>
        <v>Aluguel De Moto Elétrica 2 Pessoas</v>
      </c>
      <c r="D15" s="264"/>
      <c r="E15" s="264"/>
      <c r="F15" s="264"/>
      <c r="G15" s="288"/>
      <c r="H15" s="58"/>
      <c r="I15" s="290" t="s">
        <v>31</v>
      </c>
      <c r="J15" s="259">
        <f>+'CONF '!D45</f>
        <v>160000</v>
      </c>
      <c r="K15" s="260"/>
      <c r="L15" s="43"/>
      <c r="M15" s="43"/>
    </row>
    <row r="16" spans="1:13" ht="14.25" customHeight="1" x14ac:dyDescent="0.35">
      <c r="A16" s="43"/>
      <c r="B16" s="286"/>
      <c r="C16" s="261"/>
      <c r="D16" s="261"/>
      <c r="E16" s="261"/>
      <c r="F16" s="261"/>
      <c r="G16" s="289"/>
      <c r="H16" s="46"/>
      <c r="I16" s="268"/>
      <c r="J16" s="261"/>
      <c r="K16" s="262"/>
      <c r="L16" s="43"/>
      <c r="M16" s="43"/>
    </row>
    <row r="17" spans="1:13" ht="15" customHeight="1" x14ac:dyDescent="0.35">
      <c r="A17" s="43"/>
      <c r="B17" s="285" t="s">
        <v>32</v>
      </c>
      <c r="C17" s="291" t="str">
        <f>+VLOOKUP(C15,'TARIFAS '!$A$3:$N$239,7,FALSE)</f>
        <v>Apresentar-se na Cidade Amuralhada, Calle 2a de Badillo 36 – 54 - 58 P 1 emabixo do hostal Badillo 
 Diagonal ao Restaurante La Vitrola</v>
      </c>
      <c r="D17" s="264"/>
      <c r="E17" s="264"/>
      <c r="F17" s="264"/>
      <c r="G17" s="288"/>
      <c r="H17" s="58"/>
      <c r="I17" s="263">
        <f>+VLOOKUP(C15,'TARIFAS '!$A$3:$O$239,8,FALSE)*B11</f>
        <v>0</v>
      </c>
      <c r="J17" s="264"/>
      <c r="K17" s="260"/>
      <c r="L17" s="43"/>
      <c r="M17" s="43"/>
    </row>
    <row r="18" spans="1:13" ht="15" customHeight="1" x14ac:dyDescent="0.35">
      <c r="A18" s="43"/>
      <c r="B18" s="281"/>
      <c r="C18" s="221"/>
      <c r="D18" s="221"/>
      <c r="E18" s="221"/>
      <c r="F18" s="221"/>
      <c r="G18" s="292"/>
      <c r="H18" s="46"/>
      <c r="I18" s="265">
        <f>+VLOOKUP(C15,'TARIFAS '!$A$3:$O$239,9,FALSE)</f>
        <v>0</v>
      </c>
      <c r="J18" s="221"/>
      <c r="K18" s="266"/>
      <c r="L18" s="43"/>
      <c r="M18" s="43"/>
    </row>
    <row r="19" spans="1:13" ht="15" customHeight="1" x14ac:dyDescent="0.35">
      <c r="A19" s="43"/>
      <c r="B19" s="281"/>
      <c r="C19" s="221"/>
      <c r="D19" s="221"/>
      <c r="E19" s="221"/>
      <c r="F19" s="221"/>
      <c r="G19" s="292"/>
      <c r="H19" s="46"/>
      <c r="I19" s="267"/>
      <c r="J19" s="221"/>
      <c r="K19" s="266"/>
      <c r="L19" s="43"/>
      <c r="M19" s="43"/>
    </row>
    <row r="20" spans="1:13" ht="13.5" customHeight="1" x14ac:dyDescent="0.35">
      <c r="A20" s="43"/>
      <c r="B20" s="281"/>
      <c r="C20" s="221"/>
      <c r="D20" s="221"/>
      <c r="E20" s="221"/>
      <c r="F20" s="221"/>
      <c r="G20" s="292"/>
      <c r="H20" s="46"/>
      <c r="I20" s="267"/>
      <c r="J20" s="221"/>
      <c r="K20" s="266"/>
      <c r="L20" s="43"/>
      <c r="M20" s="43"/>
    </row>
    <row r="21" spans="1:13" ht="14.25" customHeight="1" x14ac:dyDescent="0.35">
      <c r="A21" s="43"/>
      <c r="B21" s="281"/>
      <c r="C21" s="221"/>
      <c r="D21" s="221"/>
      <c r="E21" s="221"/>
      <c r="F21" s="221"/>
      <c r="G21" s="292"/>
      <c r="H21" s="46"/>
      <c r="I21" s="267"/>
      <c r="J21" s="221"/>
      <c r="K21" s="266"/>
      <c r="L21" s="43"/>
      <c r="M21" s="43"/>
    </row>
    <row r="22" spans="1:13" ht="14.25" customHeight="1" x14ac:dyDescent="0.35">
      <c r="A22" s="43"/>
      <c r="B22" s="281"/>
      <c r="C22" s="221"/>
      <c r="D22" s="221"/>
      <c r="E22" s="221"/>
      <c r="F22" s="221"/>
      <c r="G22" s="292"/>
      <c r="H22" s="46"/>
      <c r="I22" s="267"/>
      <c r="J22" s="221"/>
      <c r="K22" s="266"/>
      <c r="L22" s="43"/>
      <c r="M22" s="43"/>
    </row>
    <row r="23" spans="1:13" ht="14.25" customHeight="1" x14ac:dyDescent="0.35">
      <c r="A23" s="43"/>
      <c r="B23" s="281"/>
      <c r="C23" s="261"/>
      <c r="D23" s="261"/>
      <c r="E23" s="261"/>
      <c r="F23" s="261"/>
      <c r="G23" s="289"/>
      <c r="H23" s="46"/>
      <c r="I23" s="268"/>
      <c r="J23" s="261"/>
      <c r="K23" s="262"/>
      <c r="L23" s="43"/>
      <c r="M23" s="43"/>
    </row>
    <row r="24" spans="1:13" ht="14.25" customHeight="1" x14ac:dyDescent="0.25">
      <c r="A24" s="43"/>
      <c r="B24" s="293" t="s">
        <v>33</v>
      </c>
      <c r="C24" s="279"/>
      <c r="D24" s="279"/>
      <c r="E24" s="279"/>
      <c r="F24" s="279"/>
      <c r="G24" s="279"/>
      <c r="H24" s="279"/>
      <c r="I24" s="279"/>
      <c r="J24" s="279"/>
      <c r="K24" s="280"/>
      <c r="L24" s="43"/>
      <c r="M24" s="43"/>
    </row>
    <row r="25" spans="1:13" ht="14.25" customHeight="1" x14ac:dyDescent="0.25">
      <c r="A25" s="43"/>
      <c r="B25" s="294"/>
      <c r="C25" s="295"/>
      <c r="D25" s="295"/>
      <c r="E25" s="295"/>
      <c r="F25" s="295"/>
      <c r="G25" s="295"/>
      <c r="H25" s="295"/>
      <c r="I25" s="295"/>
      <c r="J25" s="295"/>
      <c r="K25" s="296"/>
      <c r="L25" s="43"/>
      <c r="M25" s="43"/>
    </row>
    <row r="26" spans="1:13" ht="14.25" customHeight="1" x14ac:dyDescent="0.25">
      <c r="A26" s="43"/>
      <c r="B26" s="43"/>
      <c r="C26" s="43"/>
      <c r="D26" s="43"/>
      <c r="E26" s="43"/>
      <c r="F26" s="43"/>
      <c r="G26" s="43"/>
      <c r="H26" s="43"/>
      <c r="I26" s="43"/>
      <c r="J26" s="43"/>
      <c r="K26" s="43"/>
      <c r="L26" s="43"/>
      <c r="M26" s="43"/>
    </row>
    <row r="27" spans="1:13" ht="14.25" customHeight="1" x14ac:dyDescent="0.25">
      <c r="A27" s="43"/>
      <c r="B27" s="43"/>
      <c r="C27" s="43"/>
      <c r="D27" s="43"/>
      <c r="E27" s="43"/>
      <c r="F27" s="43"/>
      <c r="G27" s="43"/>
      <c r="H27" s="43"/>
      <c r="I27" s="43"/>
      <c r="J27" s="43"/>
      <c r="K27" s="43"/>
      <c r="L27" s="43"/>
      <c r="M27" s="43"/>
    </row>
    <row r="28" spans="1:13" ht="14.25" customHeight="1" x14ac:dyDescent="0.25">
      <c r="A28" s="43"/>
      <c r="B28" s="272"/>
      <c r="C28" s="273"/>
      <c r="D28" s="273"/>
      <c r="E28" s="273"/>
      <c r="F28" s="273"/>
      <c r="G28" s="273"/>
      <c r="H28" s="273"/>
      <c r="I28" s="273"/>
      <c r="J28" s="273"/>
      <c r="K28" s="274"/>
      <c r="L28" s="43"/>
      <c r="M28" s="43"/>
    </row>
    <row r="29" spans="1:13" ht="14.25" customHeight="1" x14ac:dyDescent="0.25">
      <c r="A29" s="43"/>
      <c r="B29" s="275"/>
      <c r="C29" s="276"/>
      <c r="D29" s="276"/>
      <c r="E29" s="276"/>
      <c r="F29" s="276"/>
      <c r="G29" s="276"/>
      <c r="H29" s="276"/>
      <c r="I29" s="276"/>
      <c r="J29" s="276"/>
      <c r="K29" s="277"/>
      <c r="L29" s="43"/>
      <c r="M29" s="43"/>
    </row>
    <row r="30" spans="1:13" ht="17.25" customHeight="1" x14ac:dyDescent="0.25">
      <c r="A30" s="43"/>
      <c r="B30" s="278" t="s">
        <v>27</v>
      </c>
      <c r="C30" s="279"/>
      <c r="D30" s="279"/>
      <c r="E30" s="279"/>
      <c r="F30" s="279"/>
      <c r="G30" s="279"/>
      <c r="H30" s="279"/>
      <c r="I30" s="279"/>
      <c r="J30" s="279"/>
      <c r="K30" s="280"/>
      <c r="L30" s="43"/>
      <c r="M30" s="43"/>
    </row>
    <row r="31" spans="1:13" ht="9" customHeight="1" x14ac:dyDescent="0.25">
      <c r="A31" s="43"/>
      <c r="B31" s="281"/>
      <c r="C31" s="221"/>
      <c r="D31" s="221"/>
      <c r="E31" s="221"/>
      <c r="F31" s="221"/>
      <c r="G31" s="221"/>
      <c r="H31" s="221"/>
      <c r="I31" s="221"/>
      <c r="J31" s="221"/>
      <c r="K31" s="266"/>
      <c r="L31" s="43"/>
      <c r="M31" s="43"/>
    </row>
    <row r="32" spans="1:13" ht="1.5" customHeight="1" x14ac:dyDescent="0.25">
      <c r="A32" s="43"/>
      <c r="B32" s="275"/>
      <c r="C32" s="276"/>
      <c r="D32" s="276"/>
      <c r="E32" s="276"/>
      <c r="F32" s="276"/>
      <c r="G32" s="276"/>
      <c r="H32" s="276"/>
      <c r="I32" s="276"/>
      <c r="J32" s="276"/>
      <c r="K32" s="277"/>
      <c r="L32" s="43"/>
      <c r="M32" s="43"/>
    </row>
    <row r="33" spans="1:13" ht="14.25" customHeight="1" x14ac:dyDescent="0.25">
      <c r="A33" s="43"/>
      <c r="B33" s="44"/>
      <c r="K33" s="45"/>
      <c r="L33" s="43"/>
      <c r="M33" s="43"/>
    </row>
    <row r="34" spans="1:13" ht="21" customHeight="1" x14ac:dyDescent="0.4">
      <c r="A34" s="43"/>
      <c r="B34" s="282" t="s">
        <v>0</v>
      </c>
      <c r="C34" s="221"/>
      <c r="D34" s="283">
        <f>'CONF '!$B$3</f>
        <v>0</v>
      </c>
      <c r="E34" s="221"/>
      <c r="F34" s="221"/>
      <c r="G34" s="221"/>
      <c r="H34" s="221"/>
      <c r="I34" s="221"/>
      <c r="J34" s="46"/>
      <c r="K34" s="47"/>
      <c r="L34" s="43"/>
      <c r="M34" s="43"/>
    </row>
    <row r="35" spans="1:13" ht="6.75" customHeight="1" x14ac:dyDescent="0.35">
      <c r="A35" s="43"/>
      <c r="B35" s="48"/>
      <c r="C35" s="46"/>
      <c r="D35" s="46"/>
      <c r="E35" s="46"/>
      <c r="F35" s="46"/>
      <c r="G35" s="46"/>
      <c r="H35" s="46"/>
      <c r="I35" s="46"/>
      <c r="J35" s="46"/>
      <c r="K35" s="47"/>
      <c r="L35" s="43"/>
      <c r="M35" s="43"/>
    </row>
    <row r="36" spans="1:13" ht="19.5" customHeight="1" x14ac:dyDescent="0.35">
      <c r="A36" s="43"/>
      <c r="B36" s="284">
        <f>+'CONF '!$D$2</f>
        <v>2</v>
      </c>
      <c r="C36" s="221"/>
      <c r="D36" s="221"/>
      <c r="E36" s="46"/>
      <c r="F36" s="46"/>
      <c r="G36" s="46"/>
      <c r="H36" s="46"/>
      <c r="I36" s="46"/>
      <c r="J36" s="46"/>
      <c r="K36" s="47"/>
      <c r="L36" s="43"/>
      <c r="M36" s="43"/>
    </row>
    <row r="37" spans="1:13" ht="6.75" customHeight="1" x14ac:dyDescent="0.35">
      <c r="A37" s="43"/>
      <c r="B37" s="44"/>
      <c r="C37" s="46"/>
      <c r="D37" s="46"/>
      <c r="E37" s="46"/>
      <c r="F37" s="46"/>
      <c r="G37" s="46"/>
      <c r="H37" s="46"/>
      <c r="I37" s="46"/>
      <c r="J37" s="46"/>
      <c r="K37" s="47"/>
      <c r="L37" s="43"/>
      <c r="M37" s="43"/>
    </row>
    <row r="38" spans="1:13" ht="15.75" customHeight="1" x14ac:dyDescent="0.35">
      <c r="A38" s="43"/>
      <c r="B38" s="49" t="s">
        <v>28</v>
      </c>
      <c r="C38" s="50">
        <f>+'CONF '!A6</f>
        <v>45782</v>
      </c>
      <c r="D38" s="51"/>
      <c r="E38" s="46"/>
      <c r="F38" s="52" t="s">
        <v>29</v>
      </c>
      <c r="G38" s="53" t="str">
        <f>+VLOOKUP(C40,'TARIFAS '!$A$3:$O$239,10,FALSE)</f>
        <v>08:55</v>
      </c>
      <c r="H38" s="46"/>
      <c r="I38" s="46"/>
      <c r="J38" s="46"/>
      <c r="K38" s="47"/>
      <c r="L38" s="43"/>
      <c r="M38" s="43"/>
    </row>
    <row r="39" spans="1:13" ht="12" customHeight="1" x14ac:dyDescent="0.35">
      <c r="A39" s="43"/>
      <c r="B39" s="54"/>
      <c r="C39" s="55"/>
      <c r="D39" s="56"/>
      <c r="E39" s="46"/>
      <c r="F39" s="57"/>
      <c r="G39" s="56"/>
      <c r="H39" s="46"/>
      <c r="I39" s="46"/>
      <c r="J39" s="46"/>
      <c r="K39" s="47"/>
      <c r="L39" s="43"/>
      <c r="M39" s="43"/>
    </row>
    <row r="40" spans="1:13" ht="14.25" customHeight="1" x14ac:dyDescent="0.35">
      <c r="A40" s="43"/>
      <c r="B40" s="285" t="s">
        <v>30</v>
      </c>
      <c r="C40" s="287" t="str">
        <f>+'CONF '!B6</f>
        <v>City Tour Panoramico + Catedral de Sal Regular</v>
      </c>
      <c r="D40" s="264"/>
      <c r="E40" s="264"/>
      <c r="F40" s="264"/>
      <c r="G40" s="288"/>
      <c r="H40" s="58"/>
      <c r="I40" s="290" t="s">
        <v>31</v>
      </c>
      <c r="J40" s="259">
        <f>+'CONF '!D46</f>
        <v>0</v>
      </c>
      <c r="K40" s="260"/>
      <c r="L40" s="43"/>
      <c r="M40" s="43"/>
    </row>
    <row r="41" spans="1:13" ht="14.25" customHeight="1" x14ac:dyDescent="0.35">
      <c r="A41" s="43"/>
      <c r="B41" s="286"/>
      <c r="C41" s="261"/>
      <c r="D41" s="261"/>
      <c r="E41" s="261"/>
      <c r="F41" s="261"/>
      <c r="G41" s="289"/>
      <c r="H41" s="46"/>
      <c r="I41" s="268"/>
      <c r="J41" s="261"/>
      <c r="K41" s="262"/>
      <c r="L41" s="43"/>
      <c r="M41" s="43"/>
    </row>
    <row r="42" spans="1:13" ht="15" customHeight="1" x14ac:dyDescent="0.35">
      <c r="A42" s="43"/>
      <c r="B42" s="285" t="s">
        <v>32</v>
      </c>
      <c r="C42" s="291" t="str">
        <f>+VLOOKUP(C40,'TARIFAS '!$A$3:$N$239,7,FALSE)</f>
        <v>Apresentar-se na Carrera 11A # 93A - 10 em frente do Cafe Juan Valdez</v>
      </c>
      <c r="D42" s="264"/>
      <c r="E42" s="264"/>
      <c r="F42" s="264"/>
      <c r="G42" s="288"/>
      <c r="H42" s="58"/>
      <c r="I42" s="263">
        <f>+VLOOKUP(C40,'TARIFAS '!$A$3:$O$239,8,FALSE)*B36</f>
        <v>0</v>
      </c>
      <c r="J42" s="264"/>
      <c r="K42" s="260"/>
      <c r="L42" s="43"/>
      <c r="M42" s="43"/>
    </row>
    <row r="43" spans="1:13" ht="15" customHeight="1" x14ac:dyDescent="0.35">
      <c r="A43" s="43"/>
      <c r="B43" s="281"/>
      <c r="C43" s="221"/>
      <c r="D43" s="221"/>
      <c r="E43" s="221"/>
      <c r="F43" s="221"/>
      <c r="G43" s="292"/>
      <c r="H43" s="46"/>
      <c r="I43" s="265">
        <f>+VLOOKUP(C40,'TARIFAS '!$A$3:$O$239,9,FALSE)</f>
        <v>0</v>
      </c>
      <c r="J43" s="221"/>
      <c r="K43" s="266"/>
      <c r="L43" s="43"/>
      <c r="M43" s="43"/>
    </row>
    <row r="44" spans="1:13" ht="15" customHeight="1" x14ac:dyDescent="0.35">
      <c r="A44" s="43"/>
      <c r="B44" s="281"/>
      <c r="C44" s="221"/>
      <c r="D44" s="221"/>
      <c r="E44" s="221"/>
      <c r="F44" s="221"/>
      <c r="G44" s="292"/>
      <c r="H44" s="46"/>
      <c r="I44" s="267"/>
      <c r="J44" s="221"/>
      <c r="K44" s="266"/>
      <c r="L44" s="43"/>
      <c r="M44" s="43"/>
    </row>
    <row r="45" spans="1:13" ht="13.5" customHeight="1" x14ac:dyDescent="0.35">
      <c r="A45" s="43"/>
      <c r="B45" s="281"/>
      <c r="C45" s="221"/>
      <c r="D45" s="221"/>
      <c r="E45" s="221"/>
      <c r="F45" s="221"/>
      <c r="G45" s="292"/>
      <c r="H45" s="46"/>
      <c r="I45" s="267"/>
      <c r="J45" s="221"/>
      <c r="K45" s="266"/>
      <c r="L45" s="43"/>
      <c r="M45" s="43"/>
    </row>
    <row r="46" spans="1:13" ht="14.25" customHeight="1" x14ac:dyDescent="0.35">
      <c r="A46" s="43"/>
      <c r="B46" s="281"/>
      <c r="C46" s="221"/>
      <c r="D46" s="221"/>
      <c r="E46" s="221"/>
      <c r="F46" s="221"/>
      <c r="G46" s="292"/>
      <c r="H46" s="46"/>
      <c r="I46" s="267"/>
      <c r="J46" s="221"/>
      <c r="K46" s="266"/>
      <c r="L46" s="43"/>
      <c r="M46" s="43"/>
    </row>
    <row r="47" spans="1:13" ht="14.25" customHeight="1" x14ac:dyDescent="0.35">
      <c r="A47" s="43"/>
      <c r="B47" s="281"/>
      <c r="C47" s="221"/>
      <c r="D47" s="221"/>
      <c r="E47" s="221"/>
      <c r="F47" s="221"/>
      <c r="G47" s="292"/>
      <c r="H47" s="46"/>
      <c r="I47" s="267"/>
      <c r="J47" s="221"/>
      <c r="K47" s="266"/>
      <c r="L47" s="43"/>
      <c r="M47" s="43"/>
    </row>
    <row r="48" spans="1:13" ht="14.25" customHeight="1" x14ac:dyDescent="0.35">
      <c r="A48" s="43"/>
      <c r="B48" s="281"/>
      <c r="C48" s="261"/>
      <c r="D48" s="261"/>
      <c r="E48" s="261"/>
      <c r="F48" s="261"/>
      <c r="G48" s="289"/>
      <c r="H48" s="46"/>
      <c r="I48" s="268"/>
      <c r="J48" s="261"/>
      <c r="K48" s="262"/>
      <c r="L48" s="43"/>
      <c r="M48" s="43"/>
    </row>
    <row r="49" spans="1:13" ht="14.25" customHeight="1" x14ac:dyDescent="0.25">
      <c r="A49" s="43"/>
      <c r="B49" s="293" t="s">
        <v>33</v>
      </c>
      <c r="C49" s="279"/>
      <c r="D49" s="279"/>
      <c r="E49" s="279"/>
      <c r="F49" s="279"/>
      <c r="G49" s="279"/>
      <c r="H49" s="279"/>
      <c r="I49" s="279"/>
      <c r="J49" s="279"/>
      <c r="K49" s="280"/>
      <c r="L49" s="43"/>
      <c r="M49" s="43"/>
    </row>
    <row r="50" spans="1:13" ht="14.25" customHeight="1" x14ac:dyDescent="0.25">
      <c r="A50" s="43"/>
      <c r="B50" s="294"/>
      <c r="C50" s="295"/>
      <c r="D50" s="295"/>
      <c r="E50" s="295"/>
      <c r="F50" s="295"/>
      <c r="G50" s="295"/>
      <c r="H50" s="295"/>
      <c r="I50" s="295"/>
      <c r="J50" s="295"/>
      <c r="K50" s="296"/>
      <c r="L50" s="43"/>
      <c r="M50" s="43"/>
    </row>
    <row r="51" spans="1:13" ht="14.25" customHeight="1" x14ac:dyDescent="0.25">
      <c r="A51" s="43"/>
      <c r="B51" s="43"/>
      <c r="C51" s="43"/>
      <c r="D51" s="43"/>
      <c r="E51" s="43"/>
      <c r="F51" s="43"/>
      <c r="G51" s="43"/>
      <c r="H51" s="43"/>
      <c r="I51" s="43"/>
      <c r="J51" s="43"/>
      <c r="K51" s="43"/>
      <c r="L51" s="43"/>
      <c r="M51" s="43"/>
    </row>
    <row r="52" spans="1:13" ht="14.25" customHeight="1" x14ac:dyDescent="0.25">
      <c r="A52" s="43"/>
      <c r="B52" s="43"/>
      <c r="C52" s="43"/>
      <c r="D52" s="43"/>
      <c r="E52" s="43"/>
      <c r="F52" s="43"/>
      <c r="G52" s="43"/>
      <c r="H52" s="43"/>
      <c r="I52" s="43"/>
      <c r="J52" s="43"/>
      <c r="K52" s="43"/>
      <c r="L52" s="43"/>
      <c r="M52" s="43"/>
    </row>
    <row r="53" spans="1:13" ht="14.25" customHeight="1" x14ac:dyDescent="0.25">
      <c r="A53" s="43"/>
      <c r="B53" s="272"/>
      <c r="C53" s="273"/>
      <c r="D53" s="273"/>
      <c r="E53" s="273"/>
      <c r="F53" s="273"/>
      <c r="G53" s="273"/>
      <c r="H53" s="273"/>
      <c r="I53" s="273"/>
      <c r="J53" s="273"/>
      <c r="K53" s="274"/>
      <c r="L53" s="43"/>
      <c r="M53" s="43"/>
    </row>
    <row r="54" spans="1:13" ht="14.25" customHeight="1" x14ac:dyDescent="0.25">
      <c r="A54" s="43"/>
      <c r="B54" s="275"/>
      <c r="C54" s="276"/>
      <c r="D54" s="276"/>
      <c r="E54" s="276"/>
      <c r="F54" s="276"/>
      <c r="G54" s="276"/>
      <c r="H54" s="276"/>
      <c r="I54" s="276"/>
      <c r="J54" s="276"/>
      <c r="K54" s="277"/>
      <c r="L54" s="43"/>
      <c r="M54" s="43"/>
    </row>
    <row r="55" spans="1:13" ht="17.25" customHeight="1" x14ac:dyDescent="0.25">
      <c r="A55" s="43"/>
      <c r="B55" s="278" t="s">
        <v>27</v>
      </c>
      <c r="C55" s="279"/>
      <c r="D55" s="279"/>
      <c r="E55" s="279"/>
      <c r="F55" s="279"/>
      <c r="G55" s="279"/>
      <c r="H55" s="279"/>
      <c r="I55" s="279"/>
      <c r="J55" s="279"/>
      <c r="K55" s="280"/>
      <c r="L55" s="43"/>
      <c r="M55" s="43"/>
    </row>
    <row r="56" spans="1:13" ht="9" customHeight="1" x14ac:dyDescent="0.25">
      <c r="A56" s="43"/>
      <c r="B56" s="281"/>
      <c r="C56" s="221"/>
      <c r="D56" s="221"/>
      <c r="E56" s="221"/>
      <c r="F56" s="221"/>
      <c r="G56" s="221"/>
      <c r="H56" s="221"/>
      <c r="I56" s="221"/>
      <c r="J56" s="221"/>
      <c r="K56" s="266"/>
      <c r="L56" s="43"/>
      <c r="M56" s="43"/>
    </row>
    <row r="57" spans="1:13" ht="1.5" customHeight="1" x14ac:dyDescent="0.25">
      <c r="A57" s="43"/>
      <c r="B57" s="275"/>
      <c r="C57" s="276"/>
      <c r="D57" s="276"/>
      <c r="E57" s="276"/>
      <c r="F57" s="276"/>
      <c r="G57" s="276"/>
      <c r="H57" s="276"/>
      <c r="I57" s="276"/>
      <c r="J57" s="276"/>
      <c r="K57" s="277"/>
      <c r="L57" s="43"/>
      <c r="M57" s="43"/>
    </row>
    <row r="58" spans="1:13" ht="14.25" customHeight="1" x14ac:dyDescent="0.25">
      <c r="A58" s="43"/>
      <c r="B58" s="44"/>
      <c r="K58" s="45"/>
      <c r="L58" s="43"/>
      <c r="M58" s="43"/>
    </row>
    <row r="59" spans="1:13" ht="21" customHeight="1" x14ac:dyDescent="0.4">
      <c r="A59" s="43"/>
      <c r="B59" s="282" t="s">
        <v>0</v>
      </c>
      <c r="C59" s="221"/>
      <c r="D59" s="283">
        <f>'CONF '!$B$3</f>
        <v>0</v>
      </c>
      <c r="E59" s="221"/>
      <c r="F59" s="221"/>
      <c r="G59" s="221"/>
      <c r="H59" s="221"/>
      <c r="I59" s="221"/>
      <c r="J59" s="46"/>
      <c r="K59" s="47"/>
      <c r="L59" s="43"/>
      <c r="M59" s="43"/>
    </row>
    <row r="60" spans="1:13" ht="6.75" customHeight="1" x14ac:dyDescent="0.35">
      <c r="A60" s="43"/>
      <c r="B60" s="48"/>
      <c r="C60" s="46"/>
      <c r="D60" s="46"/>
      <c r="E60" s="46"/>
      <c r="F60" s="46"/>
      <c r="G60" s="46"/>
      <c r="H60" s="46"/>
      <c r="I60" s="46"/>
      <c r="J60" s="46"/>
      <c r="K60" s="47"/>
      <c r="L60" s="43"/>
      <c r="M60" s="43"/>
    </row>
    <row r="61" spans="1:13" ht="19.5" customHeight="1" x14ac:dyDescent="0.35">
      <c r="A61" s="43"/>
      <c r="B61" s="284">
        <f>+'CONF '!$D$2</f>
        <v>2</v>
      </c>
      <c r="C61" s="221"/>
      <c r="D61" s="221"/>
      <c r="E61" s="46"/>
      <c r="F61" s="46"/>
      <c r="G61" s="46"/>
      <c r="H61" s="46"/>
      <c r="I61" s="46"/>
      <c r="J61" s="46"/>
      <c r="K61" s="47"/>
      <c r="L61" s="43"/>
      <c r="M61" s="43"/>
    </row>
    <row r="62" spans="1:13" ht="6.75" customHeight="1" x14ac:dyDescent="0.35">
      <c r="A62" s="43"/>
      <c r="B62" s="44"/>
      <c r="C62" s="46"/>
      <c r="D62" s="46"/>
      <c r="E62" s="46"/>
      <c r="F62" s="46"/>
      <c r="G62" s="46"/>
      <c r="H62" s="46"/>
      <c r="I62" s="46"/>
      <c r="J62" s="46"/>
      <c r="K62" s="47"/>
      <c r="L62" s="43"/>
      <c r="M62" s="43"/>
    </row>
    <row r="63" spans="1:13" ht="15.75" customHeight="1" x14ac:dyDescent="0.35">
      <c r="A63" s="43"/>
      <c r="B63" s="49" t="s">
        <v>28</v>
      </c>
      <c r="C63" s="50">
        <f>+'CONF '!A7</f>
        <v>45784</v>
      </c>
      <c r="D63" s="51"/>
      <c r="E63" s="46"/>
      <c r="F63" s="52" t="s">
        <v>29</v>
      </c>
      <c r="G63" s="53" t="str">
        <f>+VLOOKUP(C65,'TARIFAS '!$A$3:$O$239,10,FALSE)</f>
        <v xml:space="preserve"> 07:20</v>
      </c>
      <c r="H63" s="46"/>
      <c r="I63" s="46"/>
      <c r="J63" s="46"/>
      <c r="K63" s="47"/>
      <c r="L63" s="43"/>
      <c r="M63" s="43"/>
    </row>
    <row r="64" spans="1:13" ht="12" customHeight="1" x14ac:dyDescent="0.35">
      <c r="A64" s="43"/>
      <c r="B64" s="54"/>
      <c r="C64" s="55"/>
      <c r="D64" s="56"/>
      <c r="E64" s="46"/>
      <c r="F64" s="57"/>
      <c r="G64" s="56"/>
      <c r="H64" s="46"/>
      <c r="I64" s="46"/>
      <c r="J64" s="46"/>
      <c r="K64" s="47"/>
      <c r="L64" s="43"/>
      <c r="M64" s="43"/>
    </row>
    <row r="65" spans="1:13" ht="14.25" customHeight="1" x14ac:dyDescent="0.35">
      <c r="A65" s="43"/>
      <c r="B65" s="285" t="s">
        <v>30</v>
      </c>
      <c r="C65" s="287" t="str">
        <f>+'CONF '!B7</f>
        <v>Bora Bora Bc</v>
      </c>
      <c r="D65" s="264"/>
      <c r="E65" s="264"/>
      <c r="F65" s="264"/>
      <c r="G65" s="288"/>
      <c r="H65" s="58"/>
      <c r="I65" s="290" t="s">
        <v>31</v>
      </c>
      <c r="J65" s="259">
        <f>+'CONF '!D47</f>
        <v>560000</v>
      </c>
      <c r="K65" s="260"/>
      <c r="L65" s="43"/>
      <c r="M65" s="43"/>
    </row>
    <row r="66" spans="1:13" ht="14.25" customHeight="1" x14ac:dyDescent="0.35">
      <c r="A66" s="43"/>
      <c r="B66" s="286"/>
      <c r="C66" s="261"/>
      <c r="D66" s="261"/>
      <c r="E66" s="261"/>
      <c r="F66" s="261"/>
      <c r="G66" s="289"/>
      <c r="H66" s="46"/>
      <c r="I66" s="268"/>
      <c r="J66" s="261"/>
      <c r="K66" s="262"/>
      <c r="L66" s="43"/>
      <c r="M66" s="43"/>
    </row>
    <row r="67" spans="1:13" ht="15" customHeight="1" x14ac:dyDescent="0.35">
      <c r="A67" s="43"/>
      <c r="B67" s="285" t="s">
        <v>32</v>
      </c>
      <c r="C67" s="291" t="str">
        <f>+VLOOKUP(C65,'TARIFAS '!$A$3:$N$239,7,FALSE)</f>
        <v xml:space="preserve">Apresentar-se  na porta 03 da Marina la Bodeguita. </v>
      </c>
      <c r="D67" s="264"/>
      <c r="E67" s="264"/>
      <c r="F67" s="264"/>
      <c r="G67" s="288"/>
      <c r="H67" s="58"/>
      <c r="I67" s="263">
        <f>+VLOOKUP(C65,'TARIFAS '!$A$3:$O$239,8,FALSE)*B61</f>
        <v>68000</v>
      </c>
      <c r="J67" s="264"/>
      <c r="K67" s="260"/>
      <c r="L67" s="43"/>
      <c r="M67" s="43"/>
    </row>
    <row r="68" spans="1:13" ht="15" customHeight="1" x14ac:dyDescent="0.35">
      <c r="A68" s="43"/>
      <c r="B68" s="281"/>
      <c r="C68" s="221"/>
      <c r="D68" s="221"/>
      <c r="E68" s="221"/>
      <c r="F68" s="221"/>
      <c r="G68" s="292"/>
      <c r="H68" s="46"/>
      <c r="I68" s="265" t="str">
        <f>+VLOOKUP(C65,'TARIFAS '!$A$3:$O$239,9,FALSE)</f>
        <v>Pagar a taxas portuárias COP 29.000 + Seguro COP 5.000 (valor por pessoa – somente em dinheiro. Valor sujeito a alterações)</v>
      </c>
      <c r="J68" s="221"/>
      <c r="K68" s="266"/>
      <c r="L68" s="43"/>
      <c r="M68" s="43"/>
    </row>
    <row r="69" spans="1:13" ht="15" customHeight="1" x14ac:dyDescent="0.35">
      <c r="A69" s="43"/>
      <c r="B69" s="281"/>
      <c r="C69" s="221"/>
      <c r="D69" s="221"/>
      <c r="E69" s="221"/>
      <c r="F69" s="221"/>
      <c r="G69" s="292"/>
      <c r="H69" s="46"/>
      <c r="I69" s="267"/>
      <c r="J69" s="221"/>
      <c r="K69" s="266"/>
      <c r="L69" s="43"/>
      <c r="M69" s="43"/>
    </row>
    <row r="70" spans="1:13" ht="13.5" customHeight="1" x14ac:dyDescent="0.35">
      <c r="A70" s="43"/>
      <c r="B70" s="281"/>
      <c r="C70" s="221"/>
      <c r="D70" s="221"/>
      <c r="E70" s="221"/>
      <c r="F70" s="221"/>
      <c r="G70" s="292"/>
      <c r="H70" s="46"/>
      <c r="I70" s="267"/>
      <c r="J70" s="221"/>
      <c r="K70" s="266"/>
      <c r="L70" s="43"/>
      <c r="M70" s="43"/>
    </row>
    <row r="71" spans="1:13" ht="14.25" customHeight="1" x14ac:dyDescent="0.35">
      <c r="A71" s="43"/>
      <c r="B71" s="281"/>
      <c r="C71" s="221"/>
      <c r="D71" s="221"/>
      <c r="E71" s="221"/>
      <c r="F71" s="221"/>
      <c r="G71" s="292"/>
      <c r="H71" s="46"/>
      <c r="I71" s="267"/>
      <c r="J71" s="221"/>
      <c r="K71" s="266"/>
      <c r="L71" s="43"/>
      <c r="M71" s="43"/>
    </row>
    <row r="72" spans="1:13" ht="14.25" customHeight="1" x14ac:dyDescent="0.35">
      <c r="A72" s="43"/>
      <c r="B72" s="281"/>
      <c r="C72" s="221"/>
      <c r="D72" s="221"/>
      <c r="E72" s="221"/>
      <c r="F72" s="221"/>
      <c r="G72" s="292"/>
      <c r="H72" s="46"/>
      <c r="I72" s="267"/>
      <c r="J72" s="221"/>
      <c r="K72" s="266"/>
      <c r="L72" s="43"/>
      <c r="M72" s="43"/>
    </row>
    <row r="73" spans="1:13" ht="14.25" customHeight="1" x14ac:dyDescent="0.35">
      <c r="A73" s="43"/>
      <c r="B73" s="281"/>
      <c r="C73" s="261"/>
      <c r="D73" s="261"/>
      <c r="E73" s="261"/>
      <c r="F73" s="261"/>
      <c r="G73" s="289"/>
      <c r="H73" s="46"/>
      <c r="I73" s="268"/>
      <c r="J73" s="261"/>
      <c r="K73" s="262"/>
      <c r="L73" s="43"/>
      <c r="M73" s="43"/>
    </row>
    <row r="74" spans="1:13" ht="14.25" customHeight="1" x14ac:dyDescent="0.25">
      <c r="A74" s="43"/>
      <c r="B74" s="293" t="s">
        <v>33</v>
      </c>
      <c r="C74" s="279"/>
      <c r="D74" s="279"/>
      <c r="E74" s="279"/>
      <c r="F74" s="279"/>
      <c r="G74" s="279"/>
      <c r="H74" s="279"/>
      <c r="I74" s="279"/>
      <c r="J74" s="279"/>
      <c r="K74" s="280"/>
      <c r="L74" s="43"/>
      <c r="M74" s="43"/>
    </row>
    <row r="75" spans="1:13" ht="14.25" customHeight="1" x14ac:dyDescent="0.25">
      <c r="A75" s="43"/>
      <c r="B75" s="294"/>
      <c r="C75" s="295"/>
      <c r="D75" s="295"/>
      <c r="E75" s="295"/>
      <c r="F75" s="295"/>
      <c r="G75" s="295"/>
      <c r="H75" s="295"/>
      <c r="I75" s="295"/>
      <c r="J75" s="295"/>
      <c r="K75" s="296"/>
      <c r="L75" s="43"/>
      <c r="M75" s="43"/>
    </row>
    <row r="76" spans="1:13" ht="14.25" customHeight="1" x14ac:dyDescent="0.25">
      <c r="A76" s="43"/>
      <c r="B76" s="43"/>
      <c r="C76" s="43"/>
      <c r="D76" s="43"/>
      <c r="E76" s="43"/>
      <c r="F76" s="43"/>
      <c r="G76" s="43"/>
      <c r="H76" s="43"/>
      <c r="I76" s="43"/>
      <c r="J76" s="43"/>
      <c r="K76" s="43"/>
      <c r="L76" s="43"/>
      <c r="M76" s="43"/>
    </row>
    <row r="77" spans="1:13" ht="14.25" customHeight="1" x14ac:dyDescent="0.25">
      <c r="A77" s="43"/>
      <c r="B77" s="43"/>
      <c r="C77" s="43"/>
      <c r="D77" s="43"/>
      <c r="E77" s="43"/>
      <c r="F77" s="43"/>
      <c r="G77" s="43"/>
      <c r="H77" s="43"/>
      <c r="I77" s="43"/>
      <c r="J77" s="43"/>
      <c r="K77" s="43"/>
      <c r="L77" s="43"/>
      <c r="M77" s="43"/>
    </row>
    <row r="78" spans="1:13" ht="14.25" customHeight="1" x14ac:dyDescent="0.25">
      <c r="A78" s="43"/>
      <c r="B78" s="272"/>
      <c r="C78" s="273"/>
      <c r="D78" s="273"/>
      <c r="E78" s="273"/>
      <c r="F78" s="273"/>
      <c r="G78" s="273"/>
      <c r="H78" s="273"/>
      <c r="I78" s="273"/>
      <c r="J78" s="273"/>
      <c r="K78" s="274"/>
      <c r="L78" s="43"/>
      <c r="M78" s="43"/>
    </row>
    <row r="79" spans="1:13" ht="14.25" customHeight="1" x14ac:dyDescent="0.25">
      <c r="A79" s="43"/>
      <c r="B79" s="275"/>
      <c r="C79" s="276"/>
      <c r="D79" s="276"/>
      <c r="E79" s="276"/>
      <c r="F79" s="276"/>
      <c r="G79" s="276"/>
      <c r="H79" s="276"/>
      <c r="I79" s="276"/>
      <c r="J79" s="276"/>
      <c r="K79" s="277"/>
      <c r="L79" s="43"/>
      <c r="M79" s="43"/>
    </row>
    <row r="80" spans="1:13" ht="17.25" customHeight="1" x14ac:dyDescent="0.25">
      <c r="A80" s="43"/>
      <c r="B80" s="278" t="s">
        <v>27</v>
      </c>
      <c r="C80" s="279"/>
      <c r="D80" s="279"/>
      <c r="E80" s="279"/>
      <c r="F80" s="279"/>
      <c r="G80" s="279"/>
      <c r="H80" s="279"/>
      <c r="I80" s="279"/>
      <c r="J80" s="279"/>
      <c r="K80" s="280"/>
      <c r="L80" s="43"/>
      <c r="M80" s="43"/>
    </row>
    <row r="81" spans="1:13" ht="9" customHeight="1" x14ac:dyDescent="0.25">
      <c r="A81" s="43"/>
      <c r="B81" s="281"/>
      <c r="C81" s="221"/>
      <c r="D81" s="221"/>
      <c r="E81" s="221"/>
      <c r="F81" s="221"/>
      <c r="G81" s="221"/>
      <c r="H81" s="221"/>
      <c r="I81" s="221"/>
      <c r="J81" s="221"/>
      <c r="K81" s="266"/>
      <c r="L81" s="43"/>
      <c r="M81" s="43"/>
    </row>
    <row r="82" spans="1:13" ht="1.5" customHeight="1" x14ac:dyDescent="0.25">
      <c r="A82" s="43"/>
      <c r="B82" s="275"/>
      <c r="C82" s="276"/>
      <c r="D82" s="276"/>
      <c r="E82" s="276"/>
      <c r="F82" s="276"/>
      <c r="G82" s="276"/>
      <c r="H82" s="276"/>
      <c r="I82" s="276"/>
      <c r="J82" s="276"/>
      <c r="K82" s="277"/>
      <c r="L82" s="43"/>
      <c r="M82" s="43"/>
    </row>
    <row r="83" spans="1:13" ht="14.25" customHeight="1" x14ac:dyDescent="0.25">
      <c r="A83" s="43"/>
      <c r="B83" s="44"/>
      <c r="K83" s="45"/>
      <c r="L83" s="43"/>
      <c r="M83" s="43"/>
    </row>
    <row r="84" spans="1:13" ht="21" customHeight="1" x14ac:dyDescent="0.4">
      <c r="A84" s="43"/>
      <c r="B84" s="282" t="s">
        <v>0</v>
      </c>
      <c r="C84" s="221"/>
      <c r="D84" s="283">
        <f>'CONF '!$B$3</f>
        <v>0</v>
      </c>
      <c r="E84" s="221"/>
      <c r="F84" s="221"/>
      <c r="G84" s="221"/>
      <c r="H84" s="221"/>
      <c r="I84" s="221"/>
      <c r="J84" s="46"/>
      <c r="K84" s="47"/>
      <c r="L84" s="43"/>
      <c r="M84" s="43"/>
    </row>
    <row r="85" spans="1:13" ht="6.75" customHeight="1" x14ac:dyDescent="0.35">
      <c r="A85" s="43"/>
      <c r="B85" s="48"/>
      <c r="C85" s="46"/>
      <c r="D85" s="46"/>
      <c r="E85" s="46"/>
      <c r="F85" s="46"/>
      <c r="G85" s="46"/>
      <c r="H85" s="46"/>
      <c r="I85" s="46"/>
      <c r="J85" s="46"/>
      <c r="K85" s="47"/>
      <c r="L85" s="43"/>
      <c r="M85" s="43"/>
    </row>
    <row r="86" spans="1:13" ht="19.5" customHeight="1" x14ac:dyDescent="0.35">
      <c r="A86" s="43"/>
      <c r="B86" s="284">
        <f>+'CONF '!$D$2</f>
        <v>2</v>
      </c>
      <c r="C86" s="221"/>
      <c r="D86" s="221"/>
      <c r="E86" s="46"/>
      <c r="F86" s="46"/>
      <c r="G86" s="46"/>
      <c r="H86" s="46"/>
      <c r="I86" s="46"/>
      <c r="J86" s="46"/>
      <c r="K86" s="47"/>
      <c r="L86" s="43"/>
      <c r="M86" s="43"/>
    </row>
    <row r="87" spans="1:13" ht="6.75" customHeight="1" x14ac:dyDescent="0.35">
      <c r="A87" s="43"/>
      <c r="B87" s="44"/>
      <c r="C87" s="46"/>
      <c r="D87" s="46"/>
      <c r="E87" s="46"/>
      <c r="F87" s="46"/>
      <c r="G87" s="46"/>
      <c r="H87" s="46"/>
      <c r="I87" s="46"/>
      <c r="J87" s="46"/>
      <c r="K87" s="47"/>
      <c r="L87" s="43"/>
      <c r="M87" s="43"/>
    </row>
    <row r="88" spans="1:13" ht="15.75" customHeight="1" x14ac:dyDescent="0.35">
      <c r="A88" s="43"/>
      <c r="B88" s="49" t="s">
        <v>28</v>
      </c>
      <c r="C88" s="50">
        <f>+'CONF '!A8</f>
        <v>45785</v>
      </c>
      <c r="D88" s="51"/>
      <c r="E88" s="46"/>
      <c r="F88" s="52" t="s">
        <v>29</v>
      </c>
      <c r="G88" s="53" t="str">
        <f>+VLOOKUP(C90,'TARIFAS '!$A$3:$O$239,10,FALSE)</f>
        <v>09:00</v>
      </c>
      <c r="H88" s="46"/>
      <c r="I88" s="46"/>
      <c r="J88" s="46"/>
      <c r="K88" s="47"/>
      <c r="L88" s="43"/>
      <c r="M88" s="43"/>
    </row>
    <row r="89" spans="1:13" ht="12" customHeight="1" x14ac:dyDescent="0.35">
      <c r="A89" s="43"/>
      <c r="B89" s="54"/>
      <c r="C89" s="55"/>
      <c r="D89" s="56"/>
      <c r="E89" s="46"/>
      <c r="F89" s="57"/>
      <c r="G89" s="56"/>
      <c r="H89" s="46"/>
      <c r="I89" s="46"/>
      <c r="J89" s="46"/>
      <c r="K89" s="47"/>
      <c r="L89" s="43"/>
      <c r="M89" s="43"/>
    </row>
    <row r="90" spans="1:13" ht="14.25" customHeight="1" x14ac:dyDescent="0.35">
      <c r="A90" s="43"/>
      <c r="B90" s="285" t="s">
        <v>30</v>
      </c>
      <c r="C90" s="287" t="str">
        <f>+'CONF '!B8</f>
        <v>Walking Tour + Castillo San Felipe 09:00 1PAX</v>
      </c>
      <c r="D90" s="264"/>
      <c r="E90" s="264"/>
      <c r="F90" s="264"/>
      <c r="G90" s="288"/>
      <c r="H90" s="58"/>
      <c r="I90" s="290" t="s">
        <v>31</v>
      </c>
      <c r="J90" s="259">
        <f>+'CONF '!D48</f>
        <v>1000000</v>
      </c>
      <c r="K90" s="260"/>
      <c r="L90" s="43"/>
      <c r="M90" s="43"/>
    </row>
    <row r="91" spans="1:13" ht="14.25" customHeight="1" x14ac:dyDescent="0.35">
      <c r="A91" s="43"/>
      <c r="B91" s="286"/>
      <c r="C91" s="261"/>
      <c r="D91" s="261"/>
      <c r="E91" s="261"/>
      <c r="F91" s="261"/>
      <c r="G91" s="289"/>
      <c r="H91" s="46"/>
      <c r="I91" s="268"/>
      <c r="J91" s="261"/>
      <c r="K91" s="262"/>
      <c r="L91" s="43"/>
      <c r="M91" s="43"/>
    </row>
    <row r="92" spans="1:13" ht="15" customHeight="1" x14ac:dyDescent="0.35">
      <c r="A92" s="43"/>
      <c r="B92" s="285" t="s">
        <v>32</v>
      </c>
      <c r="C92" s="291" t="str">
        <f>+VLOOKUP(C90,'TARIFAS '!$A$3:$N$239,7,FALSE)</f>
        <v>Apresentar-se  na recepção do hotel</v>
      </c>
      <c r="D92" s="264"/>
      <c r="E92" s="264"/>
      <c r="F92" s="264"/>
      <c r="G92" s="288"/>
      <c r="H92" s="58"/>
      <c r="I92" s="263">
        <f>+VLOOKUP(C90,'TARIFAS '!$A$3:$O$239,8,FALSE)*B86</f>
        <v>0</v>
      </c>
      <c r="J92" s="264"/>
      <c r="K92" s="260"/>
      <c r="L92" s="43"/>
      <c r="M92" s="43"/>
    </row>
    <row r="93" spans="1:13" ht="15" customHeight="1" x14ac:dyDescent="0.35">
      <c r="A93" s="43"/>
      <c r="B93" s="281"/>
      <c r="C93" s="221"/>
      <c r="D93" s="221"/>
      <c r="E93" s="221"/>
      <c r="F93" s="221"/>
      <c r="G93" s="292"/>
      <c r="H93" s="46"/>
      <c r="I93" s="265">
        <f>+VLOOKUP(C90,'TARIFAS '!$A$3:$O$239,9,FALSE)</f>
        <v>0</v>
      </c>
      <c r="J93" s="221"/>
      <c r="K93" s="266"/>
      <c r="L93" s="43"/>
      <c r="M93" s="43"/>
    </row>
    <row r="94" spans="1:13" ht="15" customHeight="1" x14ac:dyDescent="0.35">
      <c r="A94" s="43"/>
      <c r="B94" s="281"/>
      <c r="C94" s="221"/>
      <c r="D94" s="221"/>
      <c r="E94" s="221"/>
      <c r="F94" s="221"/>
      <c r="G94" s="292"/>
      <c r="H94" s="46"/>
      <c r="I94" s="267"/>
      <c r="J94" s="221"/>
      <c r="K94" s="266"/>
      <c r="L94" s="43"/>
      <c r="M94" s="43"/>
    </row>
    <row r="95" spans="1:13" ht="13.5" customHeight="1" x14ac:dyDescent="0.35">
      <c r="A95" s="43"/>
      <c r="B95" s="281"/>
      <c r="C95" s="221"/>
      <c r="D95" s="221"/>
      <c r="E95" s="221"/>
      <c r="F95" s="221"/>
      <c r="G95" s="292"/>
      <c r="H95" s="46"/>
      <c r="I95" s="267"/>
      <c r="J95" s="221"/>
      <c r="K95" s="266"/>
      <c r="L95" s="43"/>
      <c r="M95" s="43"/>
    </row>
    <row r="96" spans="1:13" ht="14.25" customHeight="1" x14ac:dyDescent="0.35">
      <c r="A96" s="43"/>
      <c r="B96" s="281"/>
      <c r="C96" s="221"/>
      <c r="D96" s="221"/>
      <c r="E96" s="221"/>
      <c r="F96" s="221"/>
      <c r="G96" s="292"/>
      <c r="H96" s="46"/>
      <c r="I96" s="267"/>
      <c r="J96" s="221"/>
      <c r="K96" s="266"/>
      <c r="L96" s="43"/>
      <c r="M96" s="43"/>
    </row>
    <row r="97" spans="1:13" ht="14.25" customHeight="1" x14ac:dyDescent="0.35">
      <c r="A97" s="43"/>
      <c r="B97" s="281"/>
      <c r="C97" s="221"/>
      <c r="D97" s="221"/>
      <c r="E97" s="221"/>
      <c r="F97" s="221"/>
      <c r="G97" s="292"/>
      <c r="H97" s="46"/>
      <c r="I97" s="267"/>
      <c r="J97" s="221"/>
      <c r="K97" s="266"/>
      <c r="L97" s="43"/>
      <c r="M97" s="43"/>
    </row>
    <row r="98" spans="1:13" ht="14.25" customHeight="1" x14ac:dyDescent="0.35">
      <c r="A98" s="43"/>
      <c r="B98" s="281"/>
      <c r="C98" s="261"/>
      <c r="D98" s="261"/>
      <c r="E98" s="261"/>
      <c r="F98" s="261"/>
      <c r="G98" s="289"/>
      <c r="H98" s="46"/>
      <c r="I98" s="268"/>
      <c r="J98" s="261"/>
      <c r="K98" s="262"/>
      <c r="L98" s="43"/>
      <c r="M98" s="43"/>
    </row>
    <row r="99" spans="1:13" ht="14.25" customHeight="1" x14ac:dyDescent="0.25">
      <c r="A99" s="43"/>
      <c r="B99" s="293" t="s">
        <v>33</v>
      </c>
      <c r="C99" s="279"/>
      <c r="D99" s="279"/>
      <c r="E99" s="279"/>
      <c r="F99" s="279"/>
      <c r="G99" s="279"/>
      <c r="H99" s="279"/>
      <c r="I99" s="279"/>
      <c r="J99" s="279"/>
      <c r="K99" s="280"/>
      <c r="L99" s="43"/>
      <c r="M99" s="43"/>
    </row>
    <row r="100" spans="1:13" ht="14.25" customHeight="1" x14ac:dyDescent="0.25">
      <c r="A100" s="43"/>
      <c r="B100" s="294"/>
      <c r="C100" s="295"/>
      <c r="D100" s="295"/>
      <c r="E100" s="295"/>
      <c r="F100" s="295"/>
      <c r="G100" s="295"/>
      <c r="H100" s="295"/>
      <c r="I100" s="295"/>
      <c r="J100" s="295"/>
      <c r="K100" s="296"/>
      <c r="L100" s="43"/>
      <c r="M100" s="43"/>
    </row>
    <row r="101" spans="1:13" ht="14.25" customHeight="1" x14ac:dyDescent="0.25">
      <c r="A101" s="43"/>
      <c r="B101" s="43"/>
      <c r="C101" s="43"/>
      <c r="D101" s="43"/>
      <c r="E101" s="43"/>
      <c r="F101" s="43"/>
      <c r="G101" s="43"/>
      <c r="H101" s="43"/>
      <c r="I101" s="43"/>
      <c r="J101" s="43"/>
      <c r="K101" s="43"/>
      <c r="L101" s="43"/>
      <c r="M101" s="43"/>
    </row>
    <row r="102" spans="1:13" ht="14.25" customHeight="1" x14ac:dyDescent="0.25">
      <c r="A102" s="43"/>
      <c r="B102" s="43"/>
      <c r="C102" s="43"/>
      <c r="D102" s="43"/>
      <c r="E102" s="43"/>
      <c r="F102" s="43"/>
      <c r="G102" s="43"/>
      <c r="H102" s="43"/>
      <c r="I102" s="43"/>
      <c r="J102" s="43"/>
      <c r="K102" s="43"/>
      <c r="L102" s="43"/>
      <c r="M102" s="43"/>
    </row>
    <row r="103" spans="1:13" ht="14.25" customHeight="1" x14ac:dyDescent="0.25">
      <c r="A103" s="43"/>
      <c r="B103" s="272"/>
      <c r="C103" s="273"/>
      <c r="D103" s="273"/>
      <c r="E103" s="273"/>
      <c r="F103" s="273"/>
      <c r="G103" s="273"/>
      <c r="H103" s="273"/>
      <c r="I103" s="273"/>
      <c r="J103" s="273"/>
      <c r="K103" s="274"/>
      <c r="L103" s="43"/>
      <c r="M103" s="43"/>
    </row>
    <row r="104" spans="1:13" ht="14.25" customHeight="1" x14ac:dyDescent="0.25">
      <c r="A104" s="43"/>
      <c r="B104" s="275"/>
      <c r="C104" s="276"/>
      <c r="D104" s="276"/>
      <c r="E104" s="276"/>
      <c r="F104" s="276"/>
      <c r="G104" s="276"/>
      <c r="H104" s="276"/>
      <c r="I104" s="276"/>
      <c r="J104" s="276"/>
      <c r="K104" s="277"/>
      <c r="L104" s="43"/>
      <c r="M104" s="43"/>
    </row>
    <row r="105" spans="1:13" ht="17.25" customHeight="1" x14ac:dyDescent="0.25">
      <c r="A105" s="43"/>
      <c r="B105" s="278" t="s">
        <v>27</v>
      </c>
      <c r="C105" s="279"/>
      <c r="D105" s="279"/>
      <c r="E105" s="279"/>
      <c r="F105" s="279"/>
      <c r="G105" s="279"/>
      <c r="H105" s="279"/>
      <c r="I105" s="279"/>
      <c r="J105" s="279"/>
      <c r="K105" s="280"/>
      <c r="L105" s="43"/>
      <c r="M105" s="43"/>
    </row>
    <row r="106" spans="1:13" ht="9" customHeight="1" x14ac:dyDescent="0.25">
      <c r="A106" s="43"/>
      <c r="B106" s="281"/>
      <c r="C106" s="221"/>
      <c r="D106" s="221"/>
      <c r="E106" s="221"/>
      <c r="F106" s="221"/>
      <c r="G106" s="221"/>
      <c r="H106" s="221"/>
      <c r="I106" s="221"/>
      <c r="J106" s="221"/>
      <c r="K106" s="266"/>
      <c r="L106" s="43"/>
      <c r="M106" s="43"/>
    </row>
    <row r="107" spans="1:13" ht="1.5" customHeight="1" x14ac:dyDescent="0.25">
      <c r="A107" s="43"/>
      <c r="B107" s="275"/>
      <c r="C107" s="276"/>
      <c r="D107" s="276"/>
      <c r="E107" s="276"/>
      <c r="F107" s="276"/>
      <c r="G107" s="276"/>
      <c r="H107" s="276"/>
      <c r="I107" s="276"/>
      <c r="J107" s="276"/>
      <c r="K107" s="277"/>
      <c r="L107" s="43"/>
      <c r="M107" s="43"/>
    </row>
    <row r="108" spans="1:13" ht="14.25" customHeight="1" x14ac:dyDescent="0.25">
      <c r="A108" s="43"/>
      <c r="B108" s="44"/>
      <c r="K108" s="45"/>
      <c r="L108" s="43"/>
      <c r="M108" s="43"/>
    </row>
    <row r="109" spans="1:13" ht="21" customHeight="1" x14ac:dyDescent="0.4">
      <c r="A109" s="43"/>
      <c r="B109" s="282" t="s">
        <v>0</v>
      </c>
      <c r="C109" s="221"/>
      <c r="D109" s="283">
        <f>'CONF '!$B$3</f>
        <v>0</v>
      </c>
      <c r="E109" s="221"/>
      <c r="F109" s="221"/>
      <c r="G109" s="221"/>
      <c r="H109" s="221"/>
      <c r="I109" s="221"/>
      <c r="J109" s="46"/>
      <c r="K109" s="47"/>
      <c r="L109" s="43"/>
      <c r="M109" s="43"/>
    </row>
    <row r="110" spans="1:13" ht="6.75" customHeight="1" x14ac:dyDescent="0.35">
      <c r="A110" s="43"/>
      <c r="B110" s="48"/>
      <c r="C110" s="46"/>
      <c r="D110" s="46"/>
      <c r="E110" s="46"/>
      <c r="F110" s="46"/>
      <c r="G110" s="46"/>
      <c r="H110" s="46"/>
      <c r="I110" s="46"/>
      <c r="J110" s="46"/>
      <c r="K110" s="47"/>
      <c r="L110" s="43"/>
      <c r="M110" s="43"/>
    </row>
    <row r="111" spans="1:13" ht="19.5" customHeight="1" x14ac:dyDescent="0.35">
      <c r="A111" s="43"/>
      <c r="B111" s="284">
        <f>+'CONF '!$D$2</f>
        <v>2</v>
      </c>
      <c r="C111" s="221"/>
      <c r="D111" s="221"/>
      <c r="E111" s="46"/>
      <c r="F111" s="46"/>
      <c r="G111" s="46"/>
      <c r="H111" s="46"/>
      <c r="I111" s="46"/>
      <c r="J111" s="46"/>
      <c r="K111" s="47"/>
      <c r="L111" s="43"/>
      <c r="M111" s="43"/>
    </row>
    <row r="112" spans="1:13" ht="6.75" customHeight="1" x14ac:dyDescent="0.35">
      <c r="A112" s="43"/>
      <c r="B112" s="44"/>
      <c r="C112" s="46"/>
      <c r="D112" s="46"/>
      <c r="E112" s="46"/>
      <c r="F112" s="46"/>
      <c r="G112" s="46"/>
      <c r="H112" s="46"/>
      <c r="I112" s="46"/>
      <c r="J112" s="46"/>
      <c r="K112" s="47"/>
      <c r="L112" s="43"/>
      <c r="M112" s="43"/>
    </row>
    <row r="113" spans="1:13" ht="15.75" customHeight="1" x14ac:dyDescent="0.35">
      <c r="A113" s="43"/>
      <c r="B113" s="49" t="s">
        <v>28</v>
      </c>
      <c r="C113" s="50">
        <f>+'CONF '!A9</f>
        <v>45786</v>
      </c>
      <c r="D113" s="51"/>
      <c r="E113" s="46"/>
      <c r="F113" s="52" t="s">
        <v>29</v>
      </c>
      <c r="G113" s="53" t="str">
        <f>+VLOOKUP(C115,'TARIFAS '!$A$3:$O$239,10,FALSE)</f>
        <v>05:45</v>
      </c>
      <c r="H113" s="46"/>
      <c r="I113" s="46"/>
      <c r="J113" s="46"/>
      <c r="K113" s="47"/>
      <c r="L113" s="43"/>
      <c r="M113" s="43"/>
    </row>
    <row r="114" spans="1:13" ht="12" customHeight="1" x14ac:dyDescent="0.35">
      <c r="A114" s="43"/>
      <c r="B114" s="54"/>
      <c r="C114" s="55"/>
      <c r="D114" s="56"/>
      <c r="E114" s="46"/>
      <c r="F114" s="57"/>
      <c r="G114" s="56"/>
      <c r="H114" s="46"/>
      <c r="I114" s="46"/>
      <c r="J114" s="46"/>
      <c r="K114" s="47"/>
      <c r="L114" s="43"/>
      <c r="M114" s="43"/>
    </row>
    <row r="115" spans="1:13" ht="14.25" customHeight="1" x14ac:dyDescent="0.35">
      <c r="A115" s="43"/>
      <c r="B115" s="285" t="s">
        <v>30</v>
      </c>
      <c r="C115" s="287" t="str">
        <f>+'CONF '!B9</f>
        <v>Isla Palma</v>
      </c>
      <c r="D115" s="264"/>
      <c r="E115" s="264"/>
      <c r="F115" s="264"/>
      <c r="G115" s="288"/>
      <c r="H115" s="58"/>
      <c r="I115" s="290" t="s">
        <v>31</v>
      </c>
      <c r="J115" s="259">
        <f>+'CONF '!D49</f>
        <v>700000</v>
      </c>
      <c r="K115" s="260"/>
      <c r="L115" s="43"/>
      <c r="M115" s="43"/>
    </row>
    <row r="116" spans="1:13" ht="14.25" customHeight="1" x14ac:dyDescent="0.35">
      <c r="A116" s="43"/>
      <c r="B116" s="286"/>
      <c r="C116" s="261"/>
      <c r="D116" s="261"/>
      <c r="E116" s="261"/>
      <c r="F116" s="261"/>
      <c r="G116" s="289"/>
      <c r="H116" s="46"/>
      <c r="I116" s="268"/>
      <c r="J116" s="261"/>
      <c r="K116" s="262"/>
      <c r="L116" s="43"/>
      <c r="M116" s="43"/>
    </row>
    <row r="117" spans="1:13" ht="15" customHeight="1" x14ac:dyDescent="0.35">
      <c r="A117" s="43"/>
      <c r="B117" s="285" t="s">
        <v>32</v>
      </c>
      <c r="C117" s="291" t="str">
        <f>+VLOOKUP(C115,'TARIFAS '!$A$3:$N$239,7,FALSE)</f>
        <v>Apresentar-se  na porta 02 da Marina la Bodeguita, onde a pessoa responsável pelo embarque e dará o suporte no embarque.</v>
      </c>
      <c r="D117" s="264"/>
      <c r="E117" s="264"/>
      <c r="F117" s="264"/>
      <c r="G117" s="288"/>
      <c r="H117" s="58"/>
      <c r="I117" s="263">
        <f>+VLOOKUP(C115,'TARIFAS '!$A$3:$O$239,8,FALSE)*B111</f>
        <v>58000</v>
      </c>
      <c r="J117" s="264"/>
      <c r="K117" s="260"/>
      <c r="L117" s="43"/>
      <c r="M117" s="43"/>
    </row>
    <row r="118" spans="1:13" ht="15" customHeight="1" x14ac:dyDescent="0.35">
      <c r="A118" s="43"/>
      <c r="B118" s="281"/>
      <c r="C118" s="221"/>
      <c r="D118" s="221"/>
      <c r="E118" s="221"/>
      <c r="F118" s="221"/>
      <c r="G118" s="292"/>
      <c r="H118" s="46"/>
      <c r="I118" s="265" t="str">
        <f>+VLOOKUP(C115,'TARIFAS '!$A$3:$O$239,9,FALSE)</f>
        <v>Pagar a taxas portuárias COP 29.000 (valor por pessoa– somente em dinheiro) na van para entrar na Marina.</v>
      </c>
      <c r="J118" s="221"/>
      <c r="K118" s="266"/>
      <c r="L118" s="43"/>
      <c r="M118" s="43"/>
    </row>
    <row r="119" spans="1:13" ht="15" customHeight="1" x14ac:dyDescent="0.35">
      <c r="A119" s="43"/>
      <c r="B119" s="281"/>
      <c r="C119" s="221"/>
      <c r="D119" s="221"/>
      <c r="E119" s="221"/>
      <c r="F119" s="221"/>
      <c r="G119" s="292"/>
      <c r="H119" s="46"/>
      <c r="I119" s="267"/>
      <c r="J119" s="221"/>
      <c r="K119" s="266"/>
      <c r="L119" s="43"/>
      <c r="M119" s="43"/>
    </row>
    <row r="120" spans="1:13" ht="13.5" customHeight="1" x14ac:dyDescent="0.35">
      <c r="A120" s="43"/>
      <c r="B120" s="281"/>
      <c r="C120" s="221"/>
      <c r="D120" s="221"/>
      <c r="E120" s="221"/>
      <c r="F120" s="221"/>
      <c r="G120" s="292"/>
      <c r="H120" s="46"/>
      <c r="I120" s="267"/>
      <c r="J120" s="221"/>
      <c r="K120" s="266"/>
      <c r="L120" s="43"/>
      <c r="M120" s="43"/>
    </row>
    <row r="121" spans="1:13" ht="14.25" customHeight="1" x14ac:dyDescent="0.35">
      <c r="A121" s="43"/>
      <c r="B121" s="281"/>
      <c r="C121" s="221"/>
      <c r="D121" s="221"/>
      <c r="E121" s="221"/>
      <c r="F121" s="221"/>
      <c r="G121" s="292"/>
      <c r="H121" s="46"/>
      <c r="I121" s="267"/>
      <c r="J121" s="221"/>
      <c r="K121" s="266"/>
      <c r="L121" s="43"/>
      <c r="M121" s="43"/>
    </row>
    <row r="122" spans="1:13" ht="14.25" customHeight="1" x14ac:dyDescent="0.35">
      <c r="A122" s="43"/>
      <c r="B122" s="281"/>
      <c r="C122" s="221"/>
      <c r="D122" s="221"/>
      <c r="E122" s="221"/>
      <c r="F122" s="221"/>
      <c r="G122" s="292"/>
      <c r="H122" s="46"/>
      <c r="I122" s="267"/>
      <c r="J122" s="221"/>
      <c r="K122" s="266"/>
      <c r="L122" s="43"/>
      <c r="M122" s="43"/>
    </row>
    <row r="123" spans="1:13" ht="14.25" customHeight="1" x14ac:dyDescent="0.35">
      <c r="A123" s="43"/>
      <c r="B123" s="281"/>
      <c r="C123" s="261"/>
      <c r="D123" s="261"/>
      <c r="E123" s="261"/>
      <c r="F123" s="261"/>
      <c r="G123" s="289"/>
      <c r="H123" s="46"/>
      <c r="I123" s="268"/>
      <c r="J123" s="261"/>
      <c r="K123" s="262"/>
      <c r="L123" s="43"/>
      <c r="M123" s="43"/>
    </row>
    <row r="124" spans="1:13" ht="14.25" customHeight="1" x14ac:dyDescent="0.25">
      <c r="A124" s="43"/>
      <c r="B124" s="293" t="s">
        <v>33</v>
      </c>
      <c r="C124" s="279"/>
      <c r="D124" s="279"/>
      <c r="E124" s="279"/>
      <c r="F124" s="279"/>
      <c r="G124" s="279"/>
      <c r="H124" s="279"/>
      <c r="I124" s="279"/>
      <c r="J124" s="279"/>
      <c r="K124" s="280"/>
      <c r="L124" s="43"/>
      <c r="M124" s="43"/>
    </row>
    <row r="125" spans="1:13" ht="14.25" customHeight="1" x14ac:dyDescent="0.25">
      <c r="A125" s="43"/>
      <c r="B125" s="294"/>
      <c r="C125" s="295"/>
      <c r="D125" s="295"/>
      <c r="E125" s="295"/>
      <c r="F125" s="295"/>
      <c r="G125" s="295"/>
      <c r="H125" s="295"/>
      <c r="I125" s="295"/>
      <c r="J125" s="295"/>
      <c r="K125" s="296"/>
      <c r="L125" s="43"/>
      <c r="M125" s="43"/>
    </row>
    <row r="126" spans="1:13" ht="14.25" customHeight="1" x14ac:dyDescent="0.25">
      <c r="A126" s="43"/>
      <c r="B126" s="43"/>
      <c r="C126" s="43"/>
      <c r="D126" s="43"/>
      <c r="E126" s="43"/>
      <c r="F126" s="43"/>
      <c r="G126" s="43"/>
      <c r="H126" s="43"/>
      <c r="I126" s="43"/>
      <c r="J126" s="43"/>
      <c r="K126" s="43"/>
      <c r="L126" s="43"/>
      <c r="M126" s="43"/>
    </row>
    <row r="127" spans="1:13" ht="14.25" customHeight="1" x14ac:dyDescent="0.25">
      <c r="A127" s="43"/>
      <c r="B127" s="43"/>
      <c r="C127" s="43"/>
      <c r="D127" s="43"/>
      <c r="E127" s="43"/>
      <c r="F127" s="43"/>
      <c r="G127" s="43"/>
      <c r="H127" s="43"/>
      <c r="I127" s="43"/>
      <c r="J127" s="43"/>
      <c r="K127" s="43"/>
      <c r="L127" s="43"/>
      <c r="M127" s="43"/>
    </row>
    <row r="128" spans="1:13" ht="14.25" customHeight="1" x14ac:dyDescent="0.25">
      <c r="A128" s="43"/>
      <c r="B128" s="272"/>
      <c r="C128" s="273"/>
      <c r="D128" s="273"/>
      <c r="E128" s="273"/>
      <c r="F128" s="273"/>
      <c r="G128" s="273"/>
      <c r="H128" s="273"/>
      <c r="I128" s="273"/>
      <c r="J128" s="273"/>
      <c r="K128" s="274"/>
      <c r="L128" s="43"/>
      <c r="M128" s="43"/>
    </row>
    <row r="129" spans="1:13" ht="14.25" customHeight="1" x14ac:dyDescent="0.25">
      <c r="A129" s="43"/>
      <c r="B129" s="275"/>
      <c r="C129" s="276"/>
      <c r="D129" s="276"/>
      <c r="E129" s="276"/>
      <c r="F129" s="276"/>
      <c r="G129" s="276"/>
      <c r="H129" s="276"/>
      <c r="I129" s="276"/>
      <c r="J129" s="276"/>
      <c r="K129" s="277"/>
      <c r="L129" s="43"/>
      <c r="M129" s="43"/>
    </row>
    <row r="130" spans="1:13" ht="17.25" customHeight="1" x14ac:dyDescent="0.25">
      <c r="A130" s="43"/>
      <c r="B130" s="278" t="s">
        <v>27</v>
      </c>
      <c r="C130" s="279"/>
      <c r="D130" s="279"/>
      <c r="E130" s="279"/>
      <c r="F130" s="279"/>
      <c r="G130" s="279"/>
      <c r="H130" s="279"/>
      <c r="I130" s="279"/>
      <c r="J130" s="279"/>
      <c r="K130" s="280"/>
      <c r="L130" s="43"/>
      <c r="M130" s="43"/>
    </row>
    <row r="131" spans="1:13" ht="9" customHeight="1" x14ac:dyDescent="0.25">
      <c r="A131" s="43"/>
      <c r="B131" s="281"/>
      <c r="C131" s="221"/>
      <c r="D131" s="221"/>
      <c r="E131" s="221"/>
      <c r="F131" s="221"/>
      <c r="G131" s="221"/>
      <c r="H131" s="221"/>
      <c r="I131" s="221"/>
      <c r="J131" s="221"/>
      <c r="K131" s="266"/>
      <c r="L131" s="43"/>
      <c r="M131" s="43"/>
    </row>
    <row r="132" spans="1:13" ht="1.5" customHeight="1" x14ac:dyDescent="0.25">
      <c r="A132" s="43"/>
      <c r="B132" s="275"/>
      <c r="C132" s="276"/>
      <c r="D132" s="276"/>
      <c r="E132" s="276"/>
      <c r="F132" s="276"/>
      <c r="G132" s="276"/>
      <c r="H132" s="276"/>
      <c r="I132" s="276"/>
      <c r="J132" s="276"/>
      <c r="K132" s="277"/>
      <c r="L132" s="43"/>
      <c r="M132" s="43"/>
    </row>
    <row r="133" spans="1:13" ht="14.25" customHeight="1" x14ac:dyDescent="0.25">
      <c r="A133" s="43"/>
      <c r="B133" s="44"/>
      <c r="K133" s="45"/>
      <c r="L133" s="43"/>
      <c r="M133" s="43"/>
    </row>
    <row r="134" spans="1:13" ht="21" customHeight="1" x14ac:dyDescent="0.4">
      <c r="A134" s="43"/>
      <c r="B134" s="282" t="s">
        <v>0</v>
      </c>
      <c r="C134" s="221"/>
      <c r="D134" s="283">
        <f>'CONF '!$B$3</f>
        <v>0</v>
      </c>
      <c r="E134" s="221"/>
      <c r="F134" s="221"/>
      <c r="G134" s="221"/>
      <c r="H134" s="221"/>
      <c r="I134" s="221"/>
      <c r="J134" s="46"/>
      <c r="K134" s="47"/>
      <c r="L134" s="43"/>
      <c r="M134" s="43"/>
    </row>
    <row r="135" spans="1:13" ht="6.75" customHeight="1" x14ac:dyDescent="0.35">
      <c r="A135" s="43"/>
      <c r="B135" s="48"/>
      <c r="C135" s="46"/>
      <c r="D135" s="46"/>
      <c r="E135" s="46"/>
      <c r="F135" s="46"/>
      <c r="G135" s="46"/>
      <c r="H135" s="46"/>
      <c r="I135" s="46"/>
      <c r="J135" s="46"/>
      <c r="K135" s="47"/>
      <c r="L135" s="43"/>
      <c r="M135" s="43"/>
    </row>
    <row r="136" spans="1:13" ht="19.5" customHeight="1" x14ac:dyDescent="0.35">
      <c r="A136" s="43"/>
      <c r="B136" s="284">
        <f>+'CONF '!$D$2</f>
        <v>2</v>
      </c>
      <c r="C136" s="221"/>
      <c r="D136" s="221"/>
      <c r="E136" s="46"/>
      <c r="F136" s="46"/>
      <c r="G136" s="46"/>
      <c r="H136" s="46"/>
      <c r="I136" s="46"/>
      <c r="J136" s="46"/>
      <c r="K136" s="47"/>
      <c r="L136" s="43"/>
      <c r="M136" s="43"/>
    </row>
    <row r="137" spans="1:13" ht="6.75" customHeight="1" x14ac:dyDescent="0.35">
      <c r="A137" s="43"/>
      <c r="B137" s="44"/>
      <c r="C137" s="46"/>
      <c r="D137" s="46"/>
      <c r="E137" s="46"/>
      <c r="F137" s="46"/>
      <c r="G137" s="46"/>
      <c r="H137" s="46"/>
      <c r="I137" s="46"/>
      <c r="J137" s="46"/>
      <c r="K137" s="47"/>
      <c r="L137" s="43"/>
      <c r="M137" s="43"/>
    </row>
    <row r="138" spans="1:13" ht="15.75" customHeight="1" x14ac:dyDescent="0.35">
      <c r="A138" s="43"/>
      <c r="B138" s="49" t="s">
        <v>28</v>
      </c>
      <c r="C138" s="50">
        <f>+'CONF '!A10</f>
        <v>45611</v>
      </c>
      <c r="D138" s="51"/>
      <c r="E138" s="46"/>
      <c r="F138" s="52" t="s">
        <v>29</v>
      </c>
      <c r="G138" s="53" t="str">
        <f>+VLOOKUP(C140,'TARIFAS '!$A$3:$O$239,10,FALSE)</f>
        <v>07:30</v>
      </c>
      <c r="H138" s="46"/>
      <c r="I138" s="46"/>
      <c r="J138" s="46"/>
      <c r="K138" s="47"/>
      <c r="L138" s="43"/>
      <c r="M138" s="43"/>
    </row>
    <row r="139" spans="1:13" ht="12" customHeight="1" x14ac:dyDescent="0.35">
      <c r="A139" s="43"/>
      <c r="B139" s="54"/>
      <c r="C139" s="55"/>
      <c r="D139" s="56"/>
      <c r="E139" s="46"/>
      <c r="F139" s="57"/>
      <c r="G139" s="56"/>
      <c r="H139" s="46"/>
      <c r="I139" s="46"/>
      <c r="J139" s="46"/>
      <c r="K139" s="47"/>
      <c r="L139" s="43"/>
      <c r="M139" s="43"/>
    </row>
    <row r="140" spans="1:13" ht="14.25" customHeight="1" x14ac:dyDescent="0.35">
      <c r="A140" s="43"/>
      <c r="B140" s="285" t="s">
        <v>30</v>
      </c>
      <c r="C140" s="287" t="str">
        <f>+'CONF '!B10</f>
        <v>PAU´E</v>
      </c>
      <c r="D140" s="264"/>
      <c r="E140" s="264"/>
      <c r="F140" s="264"/>
      <c r="G140" s="288"/>
      <c r="H140" s="58"/>
      <c r="I140" s="290" t="s">
        <v>31</v>
      </c>
      <c r="J140" s="259">
        <f>+'CONF '!D50</f>
        <v>700000</v>
      </c>
      <c r="K140" s="260"/>
      <c r="L140" s="43"/>
      <c r="M140" s="43"/>
    </row>
    <row r="141" spans="1:13" ht="14.25" customHeight="1" x14ac:dyDescent="0.35">
      <c r="A141" s="43"/>
      <c r="B141" s="286"/>
      <c r="C141" s="261"/>
      <c r="D141" s="261"/>
      <c r="E141" s="261"/>
      <c r="F141" s="261"/>
      <c r="G141" s="289"/>
      <c r="H141" s="46"/>
      <c r="I141" s="268"/>
      <c r="J141" s="261"/>
      <c r="K141" s="262"/>
      <c r="L141" s="43"/>
      <c r="M141" s="43"/>
    </row>
    <row r="142" spans="1:13" ht="15" customHeight="1" x14ac:dyDescent="0.35">
      <c r="A142" s="43"/>
      <c r="B142" s="285" t="s">
        <v>32</v>
      </c>
      <c r="C142" s="291" t="str">
        <f>+VLOOKUP(C140,'TARIFAS '!$A$3:$N$239,7,FALSE)</f>
        <v xml:space="preserve">Apresentar-se na porta 04 da Marina la Bodeguita. </v>
      </c>
      <c r="D142" s="264"/>
      <c r="E142" s="264"/>
      <c r="F142" s="264"/>
      <c r="G142" s="288"/>
      <c r="H142" s="58"/>
      <c r="I142" s="263">
        <f>+VLOOKUP(C140,'TARIFAS '!$A$3:$O$239,8,FALSE)*B136</f>
        <v>69000</v>
      </c>
      <c r="J142" s="264"/>
      <c r="K142" s="260"/>
      <c r="L142" s="43"/>
      <c r="M142" s="43"/>
    </row>
    <row r="143" spans="1:13" ht="15" customHeight="1" x14ac:dyDescent="0.35">
      <c r="A143" s="43"/>
      <c r="B143" s="281"/>
      <c r="C143" s="221"/>
      <c r="D143" s="221"/>
      <c r="E143" s="221"/>
      <c r="F143" s="221"/>
      <c r="G143" s="292"/>
      <c r="H143" s="46"/>
      <c r="I143" s="265" t="str">
        <f>+VLOOKUP(C140,'TARIFAS '!$A$3:$O$239,9,FALSE)</f>
        <v>Pagar a taxas portuárias COP 29.000 + Seguro COP 5.500 (valor por pessoa – somente em dinheiro. Valor sujeito a alterações)</v>
      </c>
      <c r="J143" s="221"/>
      <c r="K143" s="266"/>
      <c r="L143" s="43"/>
      <c r="M143" s="43"/>
    </row>
    <row r="144" spans="1:13" ht="15" customHeight="1" x14ac:dyDescent="0.35">
      <c r="A144" s="43"/>
      <c r="B144" s="281"/>
      <c r="C144" s="221"/>
      <c r="D144" s="221"/>
      <c r="E144" s="221"/>
      <c r="F144" s="221"/>
      <c r="G144" s="292"/>
      <c r="H144" s="46"/>
      <c r="I144" s="267"/>
      <c r="J144" s="221"/>
      <c r="K144" s="266"/>
      <c r="L144" s="43"/>
      <c r="M144" s="43"/>
    </row>
    <row r="145" spans="1:13" ht="13.5" customHeight="1" x14ac:dyDescent="0.35">
      <c r="A145" s="43"/>
      <c r="B145" s="281"/>
      <c r="C145" s="221"/>
      <c r="D145" s="221"/>
      <c r="E145" s="221"/>
      <c r="F145" s="221"/>
      <c r="G145" s="292"/>
      <c r="H145" s="46"/>
      <c r="I145" s="267"/>
      <c r="J145" s="221"/>
      <c r="K145" s="266"/>
      <c r="L145" s="43"/>
      <c r="M145" s="43"/>
    </row>
    <row r="146" spans="1:13" ht="14.25" customHeight="1" x14ac:dyDescent="0.35">
      <c r="A146" s="43"/>
      <c r="B146" s="281"/>
      <c r="C146" s="221"/>
      <c r="D146" s="221"/>
      <c r="E146" s="221"/>
      <c r="F146" s="221"/>
      <c r="G146" s="292"/>
      <c r="H146" s="46"/>
      <c r="I146" s="267"/>
      <c r="J146" s="221"/>
      <c r="K146" s="266"/>
      <c r="L146" s="43"/>
      <c r="M146" s="43"/>
    </row>
    <row r="147" spans="1:13" ht="14.25" customHeight="1" x14ac:dyDescent="0.35">
      <c r="A147" s="43"/>
      <c r="B147" s="281"/>
      <c r="C147" s="221"/>
      <c r="D147" s="221"/>
      <c r="E147" s="221"/>
      <c r="F147" s="221"/>
      <c r="G147" s="292"/>
      <c r="H147" s="46"/>
      <c r="I147" s="267"/>
      <c r="J147" s="221"/>
      <c r="K147" s="266"/>
      <c r="L147" s="43"/>
      <c r="M147" s="43"/>
    </row>
    <row r="148" spans="1:13" ht="14.25" customHeight="1" x14ac:dyDescent="0.35">
      <c r="A148" s="43"/>
      <c r="B148" s="281"/>
      <c r="C148" s="261"/>
      <c r="D148" s="261"/>
      <c r="E148" s="261"/>
      <c r="F148" s="261"/>
      <c r="G148" s="289"/>
      <c r="H148" s="46"/>
      <c r="I148" s="268"/>
      <c r="J148" s="261"/>
      <c r="K148" s="262"/>
      <c r="L148" s="43"/>
      <c r="M148" s="43"/>
    </row>
    <row r="149" spans="1:13" ht="14.25" customHeight="1" x14ac:dyDescent="0.25">
      <c r="A149" s="43"/>
      <c r="B149" s="293" t="s">
        <v>33</v>
      </c>
      <c r="C149" s="279"/>
      <c r="D149" s="279"/>
      <c r="E149" s="279"/>
      <c r="F149" s="279"/>
      <c r="G149" s="279"/>
      <c r="H149" s="279"/>
      <c r="I149" s="279"/>
      <c r="J149" s="279"/>
      <c r="K149" s="280"/>
      <c r="L149" s="43"/>
      <c r="M149" s="43"/>
    </row>
    <row r="150" spans="1:13" ht="14.25" customHeight="1" x14ac:dyDescent="0.25">
      <c r="A150" s="43"/>
      <c r="B150" s="294"/>
      <c r="C150" s="295"/>
      <c r="D150" s="295"/>
      <c r="E150" s="295"/>
      <c r="F150" s="295"/>
      <c r="G150" s="295"/>
      <c r="H150" s="295"/>
      <c r="I150" s="295"/>
      <c r="J150" s="295"/>
      <c r="K150" s="296"/>
      <c r="L150" s="43"/>
      <c r="M150" s="43"/>
    </row>
    <row r="151" spans="1:13" ht="14.25" customHeight="1" x14ac:dyDescent="0.25">
      <c r="A151" s="43"/>
      <c r="B151" s="43"/>
      <c r="C151" s="43"/>
      <c r="D151" s="43"/>
      <c r="E151" s="43"/>
      <c r="F151" s="43"/>
      <c r="G151" s="43"/>
      <c r="H151" s="43"/>
      <c r="I151" s="43"/>
      <c r="J151" s="43"/>
      <c r="K151" s="43"/>
      <c r="L151" s="43"/>
      <c r="M151" s="43"/>
    </row>
    <row r="152" spans="1:13" ht="14.25" customHeight="1" x14ac:dyDescent="0.25">
      <c r="A152" s="43"/>
      <c r="B152" s="43"/>
      <c r="C152" s="43"/>
      <c r="D152" s="43"/>
      <c r="E152" s="43"/>
      <c r="F152" s="43"/>
      <c r="G152" s="43"/>
      <c r="H152" s="43"/>
      <c r="I152" s="43"/>
      <c r="J152" s="43"/>
      <c r="K152" s="43"/>
      <c r="L152" s="43"/>
      <c r="M152" s="43"/>
    </row>
    <row r="153" spans="1:13" ht="14.25" customHeight="1" x14ac:dyDescent="0.25">
      <c r="A153" s="43"/>
      <c r="B153" s="272"/>
      <c r="C153" s="273"/>
      <c r="D153" s="273"/>
      <c r="E153" s="273"/>
      <c r="F153" s="273"/>
      <c r="G153" s="273"/>
      <c r="H153" s="273"/>
      <c r="I153" s="273"/>
      <c r="J153" s="273"/>
      <c r="K153" s="274"/>
      <c r="L153" s="43"/>
      <c r="M153" s="43"/>
    </row>
    <row r="154" spans="1:13" ht="14.25" customHeight="1" x14ac:dyDescent="0.25">
      <c r="A154" s="43"/>
      <c r="B154" s="275"/>
      <c r="C154" s="276"/>
      <c r="D154" s="276"/>
      <c r="E154" s="276"/>
      <c r="F154" s="276"/>
      <c r="G154" s="276"/>
      <c r="H154" s="276"/>
      <c r="I154" s="276"/>
      <c r="J154" s="276"/>
      <c r="K154" s="277"/>
      <c r="L154" s="43"/>
      <c r="M154" s="43"/>
    </row>
    <row r="155" spans="1:13" ht="17.25" customHeight="1" x14ac:dyDescent="0.25">
      <c r="A155" s="43"/>
      <c r="B155" s="278" t="s">
        <v>27</v>
      </c>
      <c r="C155" s="279"/>
      <c r="D155" s="279"/>
      <c r="E155" s="279"/>
      <c r="F155" s="279"/>
      <c r="G155" s="279"/>
      <c r="H155" s="279"/>
      <c r="I155" s="279"/>
      <c r="J155" s="279"/>
      <c r="K155" s="280"/>
      <c r="L155" s="43"/>
      <c r="M155" s="43"/>
    </row>
    <row r="156" spans="1:13" ht="9" customHeight="1" x14ac:dyDescent="0.25">
      <c r="A156" s="43"/>
      <c r="B156" s="281"/>
      <c r="C156" s="221"/>
      <c r="D156" s="221"/>
      <c r="E156" s="221"/>
      <c r="F156" s="221"/>
      <c r="G156" s="221"/>
      <c r="H156" s="221"/>
      <c r="I156" s="221"/>
      <c r="J156" s="221"/>
      <c r="K156" s="266"/>
      <c r="L156" s="43"/>
      <c r="M156" s="43"/>
    </row>
    <row r="157" spans="1:13" ht="1.5" customHeight="1" x14ac:dyDescent="0.25">
      <c r="A157" s="43"/>
      <c r="B157" s="275"/>
      <c r="C157" s="276"/>
      <c r="D157" s="276"/>
      <c r="E157" s="276"/>
      <c r="F157" s="276"/>
      <c r="G157" s="276"/>
      <c r="H157" s="276"/>
      <c r="I157" s="276"/>
      <c r="J157" s="276"/>
      <c r="K157" s="277"/>
      <c r="L157" s="43"/>
      <c r="M157" s="43"/>
    </row>
    <row r="158" spans="1:13" ht="14.25" customHeight="1" x14ac:dyDescent="0.25">
      <c r="A158" s="43"/>
      <c r="B158" s="44"/>
      <c r="K158" s="45"/>
      <c r="L158" s="43"/>
      <c r="M158" s="43"/>
    </row>
    <row r="159" spans="1:13" ht="21" customHeight="1" x14ac:dyDescent="0.4">
      <c r="A159" s="43"/>
      <c r="B159" s="282" t="s">
        <v>0</v>
      </c>
      <c r="C159" s="221"/>
      <c r="D159" s="283">
        <f>'CONF '!$B$3</f>
        <v>0</v>
      </c>
      <c r="E159" s="221"/>
      <c r="F159" s="221"/>
      <c r="G159" s="221"/>
      <c r="H159" s="221"/>
      <c r="I159" s="221"/>
      <c r="J159" s="46"/>
      <c r="K159" s="47"/>
      <c r="L159" s="43"/>
      <c r="M159" s="43"/>
    </row>
    <row r="160" spans="1:13" ht="6.75" customHeight="1" x14ac:dyDescent="0.35">
      <c r="A160" s="43"/>
      <c r="B160" s="48"/>
      <c r="C160" s="46"/>
      <c r="D160" s="46"/>
      <c r="E160" s="46"/>
      <c r="F160" s="46"/>
      <c r="G160" s="46"/>
      <c r="H160" s="46"/>
      <c r="I160" s="46"/>
      <c r="J160" s="46"/>
      <c r="K160" s="47"/>
      <c r="L160" s="43"/>
      <c r="M160" s="43"/>
    </row>
    <row r="161" spans="1:13" ht="19.5" customHeight="1" x14ac:dyDescent="0.35">
      <c r="A161" s="43"/>
      <c r="B161" s="284">
        <f>+'CONF '!$D$2</f>
        <v>2</v>
      </c>
      <c r="C161" s="221"/>
      <c r="D161" s="221"/>
      <c r="E161" s="46"/>
      <c r="F161" s="46"/>
      <c r="G161" s="46"/>
      <c r="H161" s="46"/>
      <c r="I161" s="46"/>
      <c r="J161" s="46"/>
      <c r="K161" s="47"/>
      <c r="L161" s="43"/>
      <c r="M161" s="43"/>
    </row>
    <row r="162" spans="1:13" ht="6.75" customHeight="1" x14ac:dyDescent="0.35">
      <c r="A162" s="43"/>
      <c r="B162" s="44"/>
      <c r="C162" s="46"/>
      <c r="D162" s="46"/>
      <c r="E162" s="46"/>
      <c r="F162" s="46"/>
      <c r="G162" s="46"/>
      <c r="H162" s="46"/>
      <c r="I162" s="46"/>
      <c r="J162" s="46"/>
      <c r="K162" s="47"/>
      <c r="L162" s="43"/>
      <c r="M162" s="43"/>
    </row>
    <row r="163" spans="1:13" ht="15.75" customHeight="1" x14ac:dyDescent="0.35">
      <c r="A163" s="43"/>
      <c r="B163" s="49" t="s">
        <v>28</v>
      </c>
      <c r="C163" s="50">
        <f>+'CONF '!A11</f>
        <v>45612</v>
      </c>
      <c r="D163" s="51"/>
      <c r="E163" s="46"/>
      <c r="F163" s="52" t="s">
        <v>29</v>
      </c>
      <c r="G163" s="53" t="str">
        <f>+VLOOKUP(C165,'TARIFAS '!$A$3:$O$239,10,FALSE)</f>
        <v>08:30</v>
      </c>
      <c r="H163" s="46"/>
      <c r="I163" s="46"/>
      <c r="J163" s="46"/>
      <c r="K163" s="47"/>
      <c r="L163" s="43"/>
      <c r="M163" s="43"/>
    </row>
    <row r="164" spans="1:13" ht="12" customHeight="1" x14ac:dyDescent="0.35">
      <c r="A164" s="43"/>
      <c r="B164" s="54"/>
      <c r="C164" s="55"/>
      <c r="D164" s="56"/>
      <c r="E164" s="46"/>
      <c r="F164" s="57"/>
      <c r="G164" s="56"/>
      <c r="H164" s="46"/>
      <c r="I164" s="46"/>
      <c r="J164" s="46"/>
      <c r="K164" s="47"/>
      <c r="L164" s="43"/>
      <c r="M164" s="43"/>
    </row>
    <row r="165" spans="1:13" ht="14.25" customHeight="1" x14ac:dyDescent="0.35">
      <c r="A165" s="43"/>
      <c r="B165" s="285" t="s">
        <v>30</v>
      </c>
      <c r="C165" s="287" t="str">
        <f>+'CONF '!B11</f>
        <v>Bonavida</v>
      </c>
      <c r="D165" s="264"/>
      <c r="E165" s="264"/>
      <c r="F165" s="264"/>
      <c r="G165" s="288"/>
      <c r="H165" s="58"/>
      <c r="I165" s="290" t="s">
        <v>31</v>
      </c>
      <c r="J165" s="259">
        <f>+'CONF '!D51</f>
        <v>740000</v>
      </c>
      <c r="K165" s="260"/>
      <c r="L165" s="43"/>
      <c r="M165" s="43"/>
    </row>
    <row r="166" spans="1:13" ht="14.25" customHeight="1" x14ac:dyDescent="0.35">
      <c r="A166" s="43"/>
      <c r="B166" s="286"/>
      <c r="C166" s="261"/>
      <c r="D166" s="261"/>
      <c r="E166" s="261"/>
      <c r="F166" s="261"/>
      <c r="G166" s="289"/>
      <c r="H166" s="46"/>
      <c r="I166" s="268"/>
      <c r="J166" s="261"/>
      <c r="K166" s="262"/>
      <c r="L166" s="43"/>
      <c r="M166" s="43"/>
    </row>
    <row r="167" spans="1:13" ht="15" customHeight="1" x14ac:dyDescent="0.35">
      <c r="A167" s="43"/>
      <c r="B167" s="285" t="s">
        <v>32</v>
      </c>
      <c r="C167" s="291" t="str">
        <f>+VLOOKUP(C165,'TARIFAS '!$A$3:$N$239,7,FALSE)</f>
        <v>Apresentar-se na Marina La Bodeguita porta 3 onde o catamarã Bona Vida estará ancorado. A tripulação dará toda assistência no embarque. Retorno para a Marina Los Pegasos às 16:00.</v>
      </c>
      <c r="D167" s="264"/>
      <c r="E167" s="264"/>
      <c r="F167" s="264"/>
      <c r="G167" s="288"/>
      <c r="H167" s="58"/>
      <c r="I167" s="263">
        <f>+VLOOKUP(C165,'TARIFAS '!$A$3:$O$239,8,FALSE)*B161</f>
        <v>53000</v>
      </c>
      <c r="J167" s="264"/>
      <c r="K167" s="260"/>
      <c r="L167" s="43"/>
      <c r="M167" s="43"/>
    </row>
    <row r="168" spans="1:13" ht="15" customHeight="1" x14ac:dyDescent="0.35">
      <c r="A168" s="43"/>
      <c r="B168" s="281"/>
      <c r="C168" s="221"/>
      <c r="D168" s="221"/>
      <c r="E168" s="221"/>
      <c r="F168" s="221"/>
      <c r="G168" s="292"/>
      <c r="H168" s="46"/>
      <c r="I168" s="265" t="str">
        <f>+VLOOKUP(C165,'TARIFAS '!$A$3:$O$239,9,FALSE)</f>
        <v>Pagar a taxas portuárias COP 26.500 (valor por pessoa – somente em dinheiro. Valor sujeito a alterações)</v>
      </c>
      <c r="J168" s="221"/>
      <c r="K168" s="266"/>
      <c r="L168" s="43"/>
      <c r="M168" s="43"/>
    </row>
    <row r="169" spans="1:13" ht="15" customHeight="1" x14ac:dyDescent="0.35">
      <c r="A169" s="43"/>
      <c r="B169" s="281"/>
      <c r="C169" s="221"/>
      <c r="D169" s="221"/>
      <c r="E169" s="221"/>
      <c r="F169" s="221"/>
      <c r="G169" s="292"/>
      <c r="H169" s="46"/>
      <c r="I169" s="267"/>
      <c r="J169" s="221"/>
      <c r="K169" s="266"/>
      <c r="L169" s="43"/>
      <c r="M169" s="43"/>
    </row>
    <row r="170" spans="1:13" ht="13.5" customHeight="1" x14ac:dyDescent="0.35">
      <c r="A170" s="43"/>
      <c r="B170" s="281"/>
      <c r="C170" s="221"/>
      <c r="D170" s="221"/>
      <c r="E170" s="221"/>
      <c r="F170" s="221"/>
      <c r="G170" s="292"/>
      <c r="H170" s="46"/>
      <c r="I170" s="267"/>
      <c r="J170" s="221"/>
      <c r="K170" s="266"/>
      <c r="L170" s="43"/>
      <c r="M170" s="43"/>
    </row>
    <row r="171" spans="1:13" ht="14.25" customHeight="1" x14ac:dyDescent="0.35">
      <c r="A171" s="43"/>
      <c r="B171" s="281"/>
      <c r="C171" s="221"/>
      <c r="D171" s="221"/>
      <c r="E171" s="221"/>
      <c r="F171" s="221"/>
      <c r="G171" s="292"/>
      <c r="H171" s="46"/>
      <c r="I171" s="267"/>
      <c r="J171" s="221"/>
      <c r="K171" s="266"/>
      <c r="L171" s="43"/>
      <c r="M171" s="43"/>
    </row>
    <row r="172" spans="1:13" ht="14.25" customHeight="1" x14ac:dyDescent="0.35">
      <c r="A172" s="43"/>
      <c r="B172" s="281"/>
      <c r="C172" s="221"/>
      <c r="D172" s="221"/>
      <c r="E172" s="221"/>
      <c r="F172" s="221"/>
      <c r="G172" s="292"/>
      <c r="H172" s="46"/>
      <c r="I172" s="267"/>
      <c r="J172" s="221"/>
      <c r="K172" s="266"/>
      <c r="L172" s="43"/>
      <c r="M172" s="43"/>
    </row>
    <row r="173" spans="1:13" ht="14.25" customHeight="1" x14ac:dyDescent="0.35">
      <c r="A173" s="43"/>
      <c r="B173" s="281"/>
      <c r="C173" s="261"/>
      <c r="D173" s="261"/>
      <c r="E173" s="261"/>
      <c r="F173" s="261"/>
      <c r="G173" s="289"/>
      <c r="H173" s="46"/>
      <c r="I173" s="268"/>
      <c r="J173" s="261"/>
      <c r="K173" s="262"/>
      <c r="L173" s="43"/>
      <c r="M173" s="43"/>
    </row>
    <row r="174" spans="1:13" ht="14.25" customHeight="1" x14ac:dyDescent="0.25">
      <c r="A174" s="43"/>
      <c r="B174" s="293" t="s">
        <v>33</v>
      </c>
      <c r="C174" s="279"/>
      <c r="D174" s="279"/>
      <c r="E174" s="279"/>
      <c r="F174" s="279"/>
      <c r="G174" s="279"/>
      <c r="H174" s="279"/>
      <c r="I174" s="279"/>
      <c r="J174" s="279"/>
      <c r="K174" s="280"/>
      <c r="L174" s="43"/>
      <c r="M174" s="43"/>
    </row>
    <row r="175" spans="1:13" ht="14.25" customHeight="1" x14ac:dyDescent="0.25">
      <c r="A175" s="43"/>
      <c r="B175" s="294"/>
      <c r="C175" s="295"/>
      <c r="D175" s="295"/>
      <c r="E175" s="295"/>
      <c r="F175" s="295"/>
      <c r="G175" s="295"/>
      <c r="H175" s="295"/>
      <c r="I175" s="295"/>
      <c r="J175" s="295"/>
      <c r="K175" s="296"/>
      <c r="L175" s="43"/>
      <c r="M175" s="43"/>
    </row>
    <row r="176" spans="1:13" ht="14.25" customHeight="1" x14ac:dyDescent="0.25">
      <c r="A176" s="43"/>
      <c r="B176" s="43"/>
      <c r="C176" s="43"/>
      <c r="D176" s="43"/>
      <c r="E176" s="43"/>
      <c r="F176" s="43"/>
      <c r="G176" s="43"/>
      <c r="H176" s="43"/>
      <c r="I176" s="43"/>
      <c r="J176" s="43"/>
      <c r="K176" s="43"/>
      <c r="L176" s="43"/>
      <c r="M176" s="43"/>
    </row>
    <row r="177" spans="1:13" ht="14.25" customHeight="1" x14ac:dyDescent="0.25">
      <c r="A177" s="43"/>
      <c r="B177" s="43"/>
      <c r="C177" s="43"/>
      <c r="D177" s="43"/>
      <c r="E177" s="43"/>
      <c r="F177" s="43"/>
      <c r="G177" s="43"/>
      <c r="H177" s="43"/>
      <c r="I177" s="43"/>
      <c r="J177" s="43"/>
      <c r="K177" s="43"/>
      <c r="L177" s="43"/>
      <c r="M177" s="43"/>
    </row>
    <row r="178" spans="1:13" ht="14.25" customHeight="1" x14ac:dyDescent="0.25">
      <c r="A178" s="43"/>
      <c r="B178" s="272"/>
      <c r="C178" s="273"/>
      <c r="D178" s="273"/>
      <c r="E178" s="273"/>
      <c r="F178" s="273"/>
      <c r="G178" s="273"/>
      <c r="H178" s="273"/>
      <c r="I178" s="273"/>
      <c r="J178" s="273"/>
      <c r="K178" s="274"/>
      <c r="L178" s="43"/>
      <c r="M178" s="43"/>
    </row>
    <row r="179" spans="1:13" ht="14.25" customHeight="1" x14ac:dyDescent="0.25">
      <c r="A179" s="43"/>
      <c r="B179" s="275"/>
      <c r="C179" s="276"/>
      <c r="D179" s="276"/>
      <c r="E179" s="276"/>
      <c r="F179" s="276"/>
      <c r="G179" s="276"/>
      <c r="H179" s="276"/>
      <c r="I179" s="276"/>
      <c r="J179" s="276"/>
      <c r="K179" s="277"/>
      <c r="L179" s="43"/>
      <c r="M179" s="43"/>
    </row>
    <row r="180" spans="1:13" ht="17.25" customHeight="1" x14ac:dyDescent="0.25">
      <c r="A180" s="43"/>
      <c r="B180" s="278" t="s">
        <v>27</v>
      </c>
      <c r="C180" s="279"/>
      <c r="D180" s="279"/>
      <c r="E180" s="279"/>
      <c r="F180" s="279"/>
      <c r="G180" s="279"/>
      <c r="H180" s="279"/>
      <c r="I180" s="279"/>
      <c r="J180" s="279"/>
      <c r="K180" s="280"/>
      <c r="L180" s="43"/>
      <c r="M180" s="43"/>
    </row>
    <row r="181" spans="1:13" ht="9" customHeight="1" x14ac:dyDescent="0.25">
      <c r="A181" s="43"/>
      <c r="B181" s="281"/>
      <c r="C181" s="221"/>
      <c r="D181" s="221"/>
      <c r="E181" s="221"/>
      <c r="F181" s="221"/>
      <c r="G181" s="221"/>
      <c r="H181" s="221"/>
      <c r="I181" s="221"/>
      <c r="J181" s="221"/>
      <c r="K181" s="266"/>
      <c r="L181" s="43"/>
      <c r="M181" s="43"/>
    </row>
    <row r="182" spans="1:13" ht="1.5" customHeight="1" x14ac:dyDescent="0.25">
      <c r="A182" s="43"/>
      <c r="B182" s="275"/>
      <c r="C182" s="276"/>
      <c r="D182" s="276"/>
      <c r="E182" s="276"/>
      <c r="F182" s="276"/>
      <c r="G182" s="276"/>
      <c r="H182" s="276"/>
      <c r="I182" s="276"/>
      <c r="J182" s="276"/>
      <c r="K182" s="277"/>
      <c r="L182" s="43"/>
      <c r="M182" s="43"/>
    </row>
    <row r="183" spans="1:13" ht="14.25" customHeight="1" x14ac:dyDescent="0.25">
      <c r="A183" s="43"/>
      <c r="B183" s="44"/>
      <c r="K183" s="45"/>
      <c r="L183" s="43"/>
      <c r="M183" s="43"/>
    </row>
    <row r="184" spans="1:13" ht="21" customHeight="1" x14ac:dyDescent="0.4">
      <c r="A184" s="43"/>
      <c r="B184" s="282" t="s">
        <v>0</v>
      </c>
      <c r="C184" s="221"/>
      <c r="D184" s="283">
        <f>'CONF '!$B$3</f>
        <v>0</v>
      </c>
      <c r="E184" s="221"/>
      <c r="F184" s="221"/>
      <c r="G184" s="221"/>
      <c r="H184" s="221"/>
      <c r="I184" s="221"/>
      <c r="J184" s="46"/>
      <c r="K184" s="47"/>
      <c r="L184" s="43"/>
      <c r="M184" s="43"/>
    </row>
    <row r="185" spans="1:13" ht="6.75" customHeight="1" x14ac:dyDescent="0.35">
      <c r="A185" s="43"/>
      <c r="B185" s="48"/>
      <c r="C185" s="46"/>
      <c r="D185" s="46"/>
      <c r="E185" s="46"/>
      <c r="F185" s="46"/>
      <c r="G185" s="46"/>
      <c r="H185" s="46"/>
      <c r="I185" s="46"/>
      <c r="J185" s="46"/>
      <c r="K185" s="47"/>
      <c r="L185" s="43"/>
      <c r="M185" s="43"/>
    </row>
    <row r="186" spans="1:13" ht="19.5" customHeight="1" x14ac:dyDescent="0.35">
      <c r="A186" s="43"/>
      <c r="B186" s="284">
        <f>+'CONF '!$D$2</f>
        <v>2</v>
      </c>
      <c r="C186" s="221"/>
      <c r="D186" s="221"/>
      <c r="E186" s="46"/>
      <c r="F186" s="46"/>
      <c r="G186" s="46"/>
      <c r="H186" s="46"/>
      <c r="I186" s="46"/>
      <c r="J186" s="46"/>
      <c r="K186" s="47"/>
      <c r="L186" s="43"/>
      <c r="M186" s="43"/>
    </row>
    <row r="187" spans="1:13" ht="6.75" customHeight="1" x14ac:dyDescent="0.35">
      <c r="A187" s="43"/>
      <c r="B187" s="44"/>
      <c r="C187" s="46"/>
      <c r="D187" s="46"/>
      <c r="E187" s="46"/>
      <c r="F187" s="46"/>
      <c r="G187" s="46"/>
      <c r="H187" s="46"/>
      <c r="I187" s="46"/>
      <c r="J187" s="46"/>
      <c r="K187" s="47"/>
      <c r="L187" s="43"/>
      <c r="M187" s="43"/>
    </row>
    <row r="188" spans="1:13" ht="15.75" customHeight="1" x14ac:dyDescent="0.35">
      <c r="A188" s="43"/>
      <c r="B188" s="49" t="s">
        <v>28</v>
      </c>
      <c r="C188" s="50">
        <f>+'CONF '!A12</f>
        <v>45613</v>
      </c>
      <c r="D188" s="51"/>
      <c r="E188" s="46"/>
      <c r="F188" s="52" t="s">
        <v>29</v>
      </c>
      <c r="G188" s="53" t="str">
        <f>+VLOOKUP(C190,'TARIFAS '!$A$3:$O$239,10,FALSE)</f>
        <v xml:space="preserve"> 07:20</v>
      </c>
      <c r="H188" s="46"/>
      <c r="I188" s="46"/>
      <c r="J188" s="46"/>
      <c r="K188" s="47"/>
      <c r="L188" s="43"/>
      <c r="M188" s="43"/>
    </row>
    <row r="189" spans="1:13" ht="12" customHeight="1" x14ac:dyDescent="0.35">
      <c r="A189" s="43"/>
      <c r="B189" s="54"/>
      <c r="C189" s="55"/>
      <c r="D189" s="56"/>
      <c r="E189" s="46"/>
      <c r="F189" s="57"/>
      <c r="G189" s="56"/>
      <c r="H189" s="46"/>
      <c r="I189" s="46"/>
      <c r="J189" s="46"/>
      <c r="K189" s="47"/>
      <c r="L189" s="43"/>
      <c r="M189" s="43"/>
    </row>
    <row r="190" spans="1:13" ht="14.25" customHeight="1" x14ac:dyDescent="0.35">
      <c r="A190" s="43"/>
      <c r="B190" s="285" t="s">
        <v>30</v>
      </c>
      <c r="C190" s="287" t="str">
        <f>+'CONF '!B12</f>
        <v>Bora Bora Vip</v>
      </c>
      <c r="D190" s="264"/>
      <c r="E190" s="264"/>
      <c r="F190" s="264"/>
      <c r="G190" s="288"/>
      <c r="H190" s="58"/>
      <c r="I190" s="290" t="s">
        <v>31</v>
      </c>
      <c r="J190" s="259">
        <f>+'CONF '!D52</f>
        <v>740000</v>
      </c>
      <c r="K190" s="260"/>
      <c r="L190" s="43"/>
      <c r="M190" s="43"/>
    </row>
    <row r="191" spans="1:13" ht="14.25" customHeight="1" x14ac:dyDescent="0.35">
      <c r="A191" s="43"/>
      <c r="B191" s="286"/>
      <c r="C191" s="261"/>
      <c r="D191" s="261"/>
      <c r="E191" s="261"/>
      <c r="F191" s="261"/>
      <c r="G191" s="289"/>
      <c r="H191" s="46"/>
      <c r="I191" s="268"/>
      <c r="J191" s="261"/>
      <c r="K191" s="262"/>
      <c r="L191" s="43"/>
      <c r="M191" s="43"/>
    </row>
    <row r="192" spans="1:13" ht="15" customHeight="1" x14ac:dyDescent="0.35">
      <c r="A192" s="43"/>
      <c r="B192" s="285" t="s">
        <v>32</v>
      </c>
      <c r="C192" s="291" t="str">
        <f>+VLOOKUP(C190,'TARIFAS '!$A$3:$N$239,7,FALSE)</f>
        <v xml:space="preserve">Apresentar-se  na porta 03 da Marina la Bodeguita. </v>
      </c>
      <c r="D192" s="264"/>
      <c r="E192" s="264"/>
      <c r="F192" s="264"/>
      <c r="G192" s="288"/>
      <c r="H192" s="58"/>
      <c r="I192" s="263">
        <f>+VLOOKUP(C190,'TARIFAS '!$A$3:$O$239,8,FALSE)*B186</f>
        <v>68000</v>
      </c>
      <c r="J192" s="264"/>
      <c r="K192" s="260"/>
      <c r="L192" s="43"/>
      <c r="M192" s="43"/>
    </row>
    <row r="193" spans="1:13" ht="15" customHeight="1" x14ac:dyDescent="0.35">
      <c r="A193" s="43"/>
      <c r="B193" s="281"/>
      <c r="C193" s="221"/>
      <c r="D193" s="221"/>
      <c r="E193" s="221"/>
      <c r="F193" s="221"/>
      <c r="G193" s="292"/>
      <c r="H193" s="46"/>
      <c r="I193" s="265" t="str">
        <f>+VLOOKUP(C190,'TARIFAS '!$A$3:$O$239,9,FALSE)</f>
        <v>Pagar a taxas portuárias COP 29.000 + Seguro COP 5.000 (valor por pessoa – somente em dinheiro. Valor sujeito a alterações)</v>
      </c>
      <c r="J193" s="221"/>
      <c r="K193" s="266"/>
      <c r="L193" s="43"/>
      <c r="M193" s="43"/>
    </row>
    <row r="194" spans="1:13" ht="15" customHeight="1" x14ac:dyDescent="0.35">
      <c r="A194" s="43"/>
      <c r="B194" s="281"/>
      <c r="C194" s="221"/>
      <c r="D194" s="221"/>
      <c r="E194" s="221"/>
      <c r="F194" s="221"/>
      <c r="G194" s="292"/>
      <c r="H194" s="46"/>
      <c r="I194" s="267"/>
      <c r="J194" s="221"/>
      <c r="K194" s="266"/>
      <c r="L194" s="43"/>
      <c r="M194" s="43"/>
    </row>
    <row r="195" spans="1:13" ht="13.5" customHeight="1" x14ac:dyDescent="0.35">
      <c r="A195" s="43"/>
      <c r="B195" s="281"/>
      <c r="C195" s="221"/>
      <c r="D195" s="221"/>
      <c r="E195" s="221"/>
      <c r="F195" s="221"/>
      <c r="G195" s="292"/>
      <c r="H195" s="46"/>
      <c r="I195" s="267"/>
      <c r="J195" s="221"/>
      <c r="K195" s="266"/>
      <c r="L195" s="43"/>
      <c r="M195" s="43"/>
    </row>
    <row r="196" spans="1:13" ht="14.25" customHeight="1" x14ac:dyDescent="0.35">
      <c r="A196" s="43"/>
      <c r="B196" s="281"/>
      <c r="C196" s="221"/>
      <c r="D196" s="221"/>
      <c r="E196" s="221"/>
      <c r="F196" s="221"/>
      <c r="G196" s="292"/>
      <c r="H196" s="46"/>
      <c r="I196" s="267"/>
      <c r="J196" s="221"/>
      <c r="K196" s="266"/>
      <c r="L196" s="43"/>
      <c r="M196" s="43"/>
    </row>
    <row r="197" spans="1:13" ht="14.25" customHeight="1" x14ac:dyDescent="0.35">
      <c r="A197" s="43"/>
      <c r="B197" s="281"/>
      <c r="C197" s="221"/>
      <c r="D197" s="221"/>
      <c r="E197" s="221"/>
      <c r="F197" s="221"/>
      <c r="G197" s="292"/>
      <c r="H197" s="46"/>
      <c r="I197" s="267"/>
      <c r="J197" s="221"/>
      <c r="K197" s="266"/>
      <c r="L197" s="43"/>
      <c r="M197" s="43"/>
    </row>
    <row r="198" spans="1:13" ht="14.25" customHeight="1" x14ac:dyDescent="0.35">
      <c r="A198" s="43"/>
      <c r="B198" s="281"/>
      <c r="C198" s="261"/>
      <c r="D198" s="261"/>
      <c r="E198" s="261"/>
      <c r="F198" s="261"/>
      <c r="G198" s="289"/>
      <c r="H198" s="46"/>
      <c r="I198" s="268"/>
      <c r="J198" s="261"/>
      <c r="K198" s="262"/>
      <c r="L198" s="43"/>
      <c r="M198" s="43"/>
    </row>
    <row r="199" spans="1:13" ht="14.25" customHeight="1" x14ac:dyDescent="0.25">
      <c r="A199" s="43"/>
      <c r="B199" s="293" t="s">
        <v>33</v>
      </c>
      <c r="C199" s="279"/>
      <c r="D199" s="279"/>
      <c r="E199" s="279"/>
      <c r="F199" s="279"/>
      <c r="G199" s="279"/>
      <c r="H199" s="279"/>
      <c r="I199" s="279"/>
      <c r="J199" s="279"/>
      <c r="K199" s="280"/>
      <c r="L199" s="43"/>
      <c r="M199" s="43"/>
    </row>
    <row r="200" spans="1:13" ht="14.25" customHeight="1" x14ac:dyDescent="0.25">
      <c r="A200" s="43"/>
      <c r="B200" s="294"/>
      <c r="C200" s="295"/>
      <c r="D200" s="295"/>
      <c r="E200" s="295"/>
      <c r="F200" s="295"/>
      <c r="G200" s="295"/>
      <c r="H200" s="295"/>
      <c r="I200" s="295"/>
      <c r="J200" s="295"/>
      <c r="K200" s="296"/>
      <c r="L200" s="43"/>
      <c r="M200" s="43"/>
    </row>
    <row r="201" spans="1:13" ht="14.25" customHeight="1" x14ac:dyDescent="0.25">
      <c r="A201" s="43"/>
      <c r="B201" s="43"/>
      <c r="C201" s="43"/>
      <c r="D201" s="43"/>
      <c r="E201" s="43"/>
      <c r="F201" s="43"/>
      <c r="G201" s="43"/>
      <c r="H201" s="43"/>
      <c r="I201" s="43"/>
      <c r="J201" s="43"/>
      <c r="K201" s="43"/>
      <c r="L201" s="43"/>
      <c r="M201" s="43"/>
    </row>
    <row r="202" spans="1:13" ht="14.25" customHeight="1" x14ac:dyDescent="0.25">
      <c r="A202" s="43"/>
      <c r="B202" s="43"/>
      <c r="C202" s="43"/>
      <c r="D202" s="43"/>
      <c r="E202" s="43"/>
      <c r="F202" s="43"/>
      <c r="G202" s="43"/>
      <c r="H202" s="43"/>
      <c r="I202" s="43"/>
      <c r="J202" s="43"/>
      <c r="K202" s="43"/>
      <c r="L202" s="43"/>
      <c r="M202" s="43"/>
    </row>
    <row r="203" spans="1:13" ht="14.25" customHeight="1" x14ac:dyDescent="0.25">
      <c r="A203" s="43"/>
      <c r="B203" s="272"/>
      <c r="C203" s="273"/>
      <c r="D203" s="273"/>
      <c r="E203" s="273"/>
      <c r="F203" s="273"/>
      <c r="G203" s="273"/>
      <c r="H203" s="273"/>
      <c r="I203" s="273"/>
      <c r="J203" s="273"/>
      <c r="K203" s="274"/>
      <c r="L203" s="43"/>
      <c r="M203" s="43"/>
    </row>
    <row r="204" spans="1:13" ht="14.25" customHeight="1" x14ac:dyDescent="0.25">
      <c r="A204" s="43"/>
      <c r="B204" s="275"/>
      <c r="C204" s="276"/>
      <c r="D204" s="276"/>
      <c r="E204" s="276"/>
      <c r="F204" s="276"/>
      <c r="G204" s="276"/>
      <c r="H204" s="276"/>
      <c r="I204" s="276"/>
      <c r="J204" s="276"/>
      <c r="K204" s="277"/>
      <c r="L204" s="43"/>
      <c r="M204" s="43"/>
    </row>
    <row r="205" spans="1:13" ht="17.25" customHeight="1" x14ac:dyDescent="0.25">
      <c r="A205" s="43"/>
      <c r="B205" s="278" t="s">
        <v>27</v>
      </c>
      <c r="C205" s="279"/>
      <c r="D205" s="279"/>
      <c r="E205" s="279"/>
      <c r="F205" s="279"/>
      <c r="G205" s="279"/>
      <c r="H205" s="279"/>
      <c r="I205" s="279"/>
      <c r="J205" s="279"/>
      <c r="K205" s="280"/>
      <c r="L205" s="43"/>
      <c r="M205" s="43"/>
    </row>
    <row r="206" spans="1:13" ht="9" customHeight="1" x14ac:dyDescent="0.25">
      <c r="A206" s="43"/>
      <c r="B206" s="281"/>
      <c r="C206" s="221"/>
      <c r="D206" s="221"/>
      <c r="E206" s="221"/>
      <c r="F206" s="221"/>
      <c r="G206" s="221"/>
      <c r="H206" s="221"/>
      <c r="I206" s="221"/>
      <c r="J206" s="221"/>
      <c r="K206" s="266"/>
      <c r="L206" s="43"/>
      <c r="M206" s="43"/>
    </row>
    <row r="207" spans="1:13" ht="1.5" customHeight="1" x14ac:dyDescent="0.25">
      <c r="A207" s="43"/>
      <c r="B207" s="275"/>
      <c r="C207" s="276"/>
      <c r="D207" s="276"/>
      <c r="E207" s="276"/>
      <c r="F207" s="276"/>
      <c r="G207" s="276"/>
      <c r="H207" s="276"/>
      <c r="I207" s="276"/>
      <c r="J207" s="276"/>
      <c r="K207" s="277"/>
      <c r="L207" s="43"/>
      <c r="M207" s="43"/>
    </row>
    <row r="208" spans="1:13" ht="14.25" customHeight="1" x14ac:dyDescent="0.25">
      <c r="A208" s="43"/>
      <c r="B208" s="44"/>
      <c r="K208" s="45"/>
      <c r="L208" s="43"/>
      <c r="M208" s="43"/>
    </row>
    <row r="209" spans="1:13" ht="21" customHeight="1" x14ac:dyDescent="0.4">
      <c r="A209" s="43"/>
      <c r="B209" s="282" t="s">
        <v>0</v>
      </c>
      <c r="C209" s="221"/>
      <c r="D209" s="283">
        <f>'CONF '!$B$3</f>
        <v>0</v>
      </c>
      <c r="E209" s="221"/>
      <c r="F209" s="221"/>
      <c r="G209" s="221"/>
      <c r="H209" s="221"/>
      <c r="I209" s="221"/>
      <c r="J209" s="46"/>
      <c r="K209" s="47"/>
      <c r="L209" s="43"/>
      <c r="M209" s="43"/>
    </row>
    <row r="210" spans="1:13" ht="6.75" customHeight="1" x14ac:dyDescent="0.35">
      <c r="A210" s="43"/>
      <c r="B210" s="48"/>
      <c r="C210" s="46"/>
      <c r="D210" s="46"/>
      <c r="E210" s="46"/>
      <c r="F210" s="46"/>
      <c r="G210" s="46"/>
      <c r="H210" s="46"/>
      <c r="I210" s="46"/>
      <c r="J210" s="46"/>
      <c r="K210" s="47"/>
      <c r="L210" s="43"/>
      <c r="M210" s="43"/>
    </row>
    <row r="211" spans="1:13" ht="19.5" customHeight="1" x14ac:dyDescent="0.35">
      <c r="A211" s="43"/>
      <c r="B211" s="284">
        <f>+'CONF '!$D$2</f>
        <v>2</v>
      </c>
      <c r="C211" s="221"/>
      <c r="D211" s="221"/>
      <c r="E211" s="46"/>
      <c r="F211" s="46"/>
      <c r="G211" s="46"/>
      <c r="H211" s="46"/>
      <c r="I211" s="46"/>
      <c r="J211" s="46"/>
      <c r="K211" s="47"/>
      <c r="L211" s="43"/>
      <c r="M211" s="43"/>
    </row>
    <row r="212" spans="1:13" ht="6.75" customHeight="1" x14ac:dyDescent="0.35">
      <c r="A212" s="43"/>
      <c r="B212" s="44"/>
      <c r="C212" s="46"/>
      <c r="D212" s="46"/>
      <c r="E212" s="46"/>
      <c r="F212" s="46"/>
      <c r="G212" s="46"/>
      <c r="H212" s="46"/>
      <c r="I212" s="46"/>
      <c r="J212" s="46"/>
      <c r="K212" s="47"/>
      <c r="L212" s="43"/>
      <c r="M212" s="43"/>
    </row>
    <row r="213" spans="1:13" ht="15.75" customHeight="1" x14ac:dyDescent="0.35">
      <c r="A213" s="43"/>
      <c r="B213" s="49" t="s">
        <v>28</v>
      </c>
      <c r="C213" s="50">
        <f>+'CONF '!A13</f>
        <v>45614</v>
      </c>
      <c r="D213" s="51"/>
      <c r="E213" s="46"/>
      <c r="F213" s="52" t="s">
        <v>29</v>
      </c>
      <c r="G213" s="53">
        <f>+VLOOKUP(C215,'TARIFAS '!$A$3:$O$239,10,FALSE)</f>
        <v>0</v>
      </c>
      <c r="H213" s="46"/>
      <c r="I213" s="46"/>
      <c r="J213" s="46"/>
      <c r="K213" s="47"/>
      <c r="L213" s="43"/>
      <c r="M213" s="43"/>
    </row>
    <row r="214" spans="1:13" ht="12" customHeight="1" x14ac:dyDescent="0.35">
      <c r="A214" s="43"/>
      <c r="B214" s="54"/>
      <c r="C214" s="55"/>
      <c r="D214" s="56"/>
      <c r="E214" s="46"/>
      <c r="F214" s="57"/>
      <c r="G214" s="56"/>
      <c r="H214" s="46"/>
      <c r="I214" s="46"/>
      <c r="J214" s="46"/>
      <c r="K214" s="47"/>
      <c r="L214" s="43"/>
      <c r="M214" s="43"/>
    </row>
    <row r="215" spans="1:13" ht="14.25" customHeight="1" x14ac:dyDescent="0.35">
      <c r="A215" s="43"/>
      <c r="B215" s="285" t="s">
        <v>30</v>
      </c>
      <c r="C215" s="287" t="str">
        <f>+'CONF '!B13</f>
        <v>Tour en lancha privativa JOE 2024</v>
      </c>
      <c r="D215" s="264"/>
      <c r="E215" s="264"/>
      <c r="F215" s="264"/>
      <c r="G215" s="288"/>
      <c r="H215" s="58"/>
      <c r="I215" s="290" t="s">
        <v>31</v>
      </c>
      <c r="J215" s="259">
        <f>+'CONF '!D53</f>
        <v>2700000</v>
      </c>
      <c r="K215" s="260"/>
      <c r="L215" s="43"/>
      <c r="M215" s="43"/>
    </row>
    <row r="216" spans="1:13" ht="14.25" customHeight="1" x14ac:dyDescent="0.35">
      <c r="A216" s="43"/>
      <c r="B216" s="286"/>
      <c r="C216" s="261"/>
      <c r="D216" s="261"/>
      <c r="E216" s="261"/>
      <c r="F216" s="261"/>
      <c r="G216" s="289"/>
      <c r="H216" s="46"/>
      <c r="I216" s="268"/>
      <c r="J216" s="261"/>
      <c r="K216" s="262"/>
      <c r="L216" s="43"/>
      <c r="M216" s="43"/>
    </row>
    <row r="217" spans="1:13" ht="15" customHeight="1" x14ac:dyDescent="0.35">
      <c r="A217" s="43"/>
      <c r="B217" s="285" t="s">
        <v>32</v>
      </c>
      <c r="C217" s="297">
        <f>+VLOOKUP(C215,'TARIFAS '!$A$3:$N$239,7,FALSE)</f>
        <v>0</v>
      </c>
      <c r="D217" s="264"/>
      <c r="E217" s="264"/>
      <c r="F217" s="264"/>
      <c r="G217" s="288"/>
      <c r="H217" s="58"/>
      <c r="I217" s="263">
        <f>+VLOOKUP(C215,'TARIFAS '!$A$3:$O$239,8,FALSE)*B211</f>
        <v>0</v>
      </c>
      <c r="J217" s="264"/>
      <c r="K217" s="260"/>
      <c r="L217" s="43"/>
      <c r="M217" s="43"/>
    </row>
    <row r="218" spans="1:13" ht="15" customHeight="1" x14ac:dyDescent="0.35">
      <c r="A218" s="43"/>
      <c r="B218" s="281"/>
      <c r="C218" s="221"/>
      <c r="D218" s="221"/>
      <c r="E218" s="221"/>
      <c r="F218" s="221"/>
      <c r="G218" s="292"/>
      <c r="H218" s="46"/>
      <c r="I218" s="265">
        <f>+VLOOKUP(C215,'TARIFAS '!$A$3:$O$239,9,FALSE)</f>
        <v>0</v>
      </c>
      <c r="J218" s="221"/>
      <c r="K218" s="266"/>
      <c r="L218" s="43"/>
      <c r="M218" s="43"/>
    </row>
    <row r="219" spans="1:13" ht="15" customHeight="1" x14ac:dyDescent="0.35">
      <c r="A219" s="43"/>
      <c r="B219" s="281"/>
      <c r="C219" s="221"/>
      <c r="D219" s="221"/>
      <c r="E219" s="221"/>
      <c r="F219" s="221"/>
      <c r="G219" s="292"/>
      <c r="H219" s="46"/>
      <c r="I219" s="267"/>
      <c r="J219" s="221"/>
      <c r="K219" s="266"/>
      <c r="L219" s="43"/>
      <c r="M219" s="43"/>
    </row>
    <row r="220" spans="1:13" ht="13.5" customHeight="1" x14ac:dyDescent="0.35">
      <c r="A220" s="43"/>
      <c r="B220" s="281"/>
      <c r="C220" s="221"/>
      <c r="D220" s="221"/>
      <c r="E220" s="221"/>
      <c r="F220" s="221"/>
      <c r="G220" s="292"/>
      <c r="H220" s="46"/>
      <c r="I220" s="267"/>
      <c r="J220" s="221"/>
      <c r="K220" s="266"/>
      <c r="L220" s="43"/>
      <c r="M220" s="43"/>
    </row>
    <row r="221" spans="1:13" ht="14.25" customHeight="1" x14ac:dyDescent="0.35">
      <c r="A221" s="43"/>
      <c r="B221" s="281"/>
      <c r="C221" s="221"/>
      <c r="D221" s="221"/>
      <c r="E221" s="221"/>
      <c r="F221" s="221"/>
      <c r="G221" s="292"/>
      <c r="H221" s="46"/>
      <c r="I221" s="267"/>
      <c r="J221" s="221"/>
      <c r="K221" s="266"/>
      <c r="L221" s="43"/>
      <c r="M221" s="43"/>
    </row>
    <row r="222" spans="1:13" ht="14.25" customHeight="1" x14ac:dyDescent="0.35">
      <c r="A222" s="43"/>
      <c r="B222" s="281"/>
      <c r="C222" s="221"/>
      <c r="D222" s="221"/>
      <c r="E222" s="221"/>
      <c r="F222" s="221"/>
      <c r="G222" s="292"/>
      <c r="H222" s="46"/>
      <c r="I222" s="267"/>
      <c r="J222" s="221"/>
      <c r="K222" s="266"/>
      <c r="L222" s="43"/>
      <c r="M222" s="43"/>
    </row>
    <row r="223" spans="1:13" ht="14.25" customHeight="1" x14ac:dyDescent="0.35">
      <c r="A223" s="43"/>
      <c r="B223" s="281"/>
      <c r="C223" s="261"/>
      <c r="D223" s="261"/>
      <c r="E223" s="261"/>
      <c r="F223" s="261"/>
      <c r="G223" s="289"/>
      <c r="H223" s="46"/>
      <c r="I223" s="268"/>
      <c r="J223" s="261"/>
      <c r="K223" s="262"/>
      <c r="L223" s="43"/>
      <c r="M223" s="43"/>
    </row>
    <row r="224" spans="1:13" ht="14.25" customHeight="1" x14ac:dyDescent="0.25">
      <c r="A224" s="43"/>
      <c r="B224" s="293" t="s">
        <v>33</v>
      </c>
      <c r="C224" s="279"/>
      <c r="D224" s="279"/>
      <c r="E224" s="279"/>
      <c r="F224" s="279"/>
      <c r="G224" s="279"/>
      <c r="H224" s="279"/>
      <c r="I224" s="279"/>
      <c r="J224" s="279"/>
      <c r="K224" s="280"/>
      <c r="L224" s="43"/>
      <c r="M224" s="43"/>
    </row>
    <row r="225" spans="1:13" ht="14.25" customHeight="1" x14ac:dyDescent="0.25">
      <c r="A225" s="43"/>
      <c r="B225" s="294"/>
      <c r="C225" s="295"/>
      <c r="D225" s="295"/>
      <c r="E225" s="295"/>
      <c r="F225" s="295"/>
      <c r="G225" s="295"/>
      <c r="H225" s="295"/>
      <c r="I225" s="295"/>
      <c r="J225" s="295"/>
      <c r="K225" s="296"/>
      <c r="L225" s="43"/>
      <c r="M225" s="43"/>
    </row>
    <row r="226" spans="1:13" ht="14.25" customHeight="1" x14ac:dyDescent="0.25">
      <c r="A226" s="43"/>
      <c r="B226" s="43"/>
      <c r="C226" s="43"/>
      <c r="D226" s="43"/>
      <c r="E226" s="43"/>
      <c r="F226" s="43"/>
      <c r="G226" s="43"/>
      <c r="H226" s="43"/>
      <c r="I226" s="43"/>
      <c r="J226" s="43"/>
      <c r="K226" s="43"/>
      <c r="L226" s="43"/>
      <c r="M226" s="43"/>
    </row>
    <row r="227" spans="1:13" ht="14.25" customHeight="1" x14ac:dyDescent="0.25">
      <c r="A227" s="43"/>
      <c r="B227" s="43"/>
      <c r="C227" s="43"/>
      <c r="D227" s="43"/>
      <c r="E227" s="43"/>
      <c r="F227" s="43"/>
      <c r="G227" s="43"/>
      <c r="H227" s="43"/>
      <c r="I227" s="43"/>
      <c r="J227" s="43"/>
      <c r="K227" s="43"/>
      <c r="L227" s="43"/>
      <c r="M227" s="43"/>
    </row>
    <row r="228" spans="1:13" ht="14.25" customHeight="1" x14ac:dyDescent="0.25">
      <c r="A228" s="43"/>
      <c r="B228" s="272"/>
      <c r="C228" s="273"/>
      <c r="D228" s="273"/>
      <c r="E228" s="273"/>
      <c r="F228" s="273"/>
      <c r="G228" s="273"/>
      <c r="H228" s="273"/>
      <c r="I228" s="273"/>
      <c r="J228" s="273"/>
      <c r="K228" s="274"/>
      <c r="L228" s="43"/>
      <c r="M228" s="43"/>
    </row>
    <row r="229" spans="1:13" ht="14.25" customHeight="1" x14ac:dyDescent="0.25">
      <c r="A229" s="43"/>
      <c r="B229" s="275"/>
      <c r="C229" s="276"/>
      <c r="D229" s="276"/>
      <c r="E229" s="276"/>
      <c r="F229" s="276"/>
      <c r="G229" s="276"/>
      <c r="H229" s="276"/>
      <c r="I229" s="276"/>
      <c r="J229" s="276"/>
      <c r="K229" s="277"/>
      <c r="L229" s="43"/>
      <c r="M229" s="43"/>
    </row>
    <row r="230" spans="1:13" ht="17.25" customHeight="1" x14ac:dyDescent="0.25">
      <c r="A230" s="43"/>
      <c r="B230" s="278" t="s">
        <v>27</v>
      </c>
      <c r="C230" s="279"/>
      <c r="D230" s="279"/>
      <c r="E230" s="279"/>
      <c r="F230" s="279"/>
      <c r="G230" s="279"/>
      <c r="H230" s="279"/>
      <c r="I230" s="279"/>
      <c r="J230" s="279"/>
      <c r="K230" s="280"/>
      <c r="L230" s="43"/>
      <c r="M230" s="43"/>
    </row>
    <row r="231" spans="1:13" ht="9" customHeight="1" x14ac:dyDescent="0.25">
      <c r="A231" s="43"/>
      <c r="B231" s="281"/>
      <c r="C231" s="221"/>
      <c r="D231" s="221"/>
      <c r="E231" s="221"/>
      <c r="F231" s="221"/>
      <c r="G231" s="221"/>
      <c r="H231" s="221"/>
      <c r="I231" s="221"/>
      <c r="J231" s="221"/>
      <c r="K231" s="266"/>
      <c r="L231" s="43"/>
      <c r="M231" s="43"/>
    </row>
    <row r="232" spans="1:13" ht="1.5" customHeight="1" x14ac:dyDescent="0.25">
      <c r="A232" s="43"/>
      <c r="B232" s="275"/>
      <c r="C232" s="276"/>
      <c r="D232" s="276"/>
      <c r="E232" s="276"/>
      <c r="F232" s="276"/>
      <c r="G232" s="276"/>
      <c r="H232" s="276"/>
      <c r="I232" s="276"/>
      <c r="J232" s="276"/>
      <c r="K232" s="277"/>
      <c r="L232" s="43"/>
      <c r="M232" s="43"/>
    </row>
    <row r="233" spans="1:13" ht="14.25" customHeight="1" x14ac:dyDescent="0.25">
      <c r="A233" s="43"/>
      <c r="B233" s="44"/>
      <c r="K233" s="45"/>
      <c r="L233" s="43"/>
      <c r="M233" s="43"/>
    </row>
    <row r="234" spans="1:13" ht="21" customHeight="1" x14ac:dyDescent="0.4">
      <c r="A234" s="43"/>
      <c r="B234" s="282" t="s">
        <v>0</v>
      </c>
      <c r="C234" s="221"/>
      <c r="D234" s="283">
        <f>'CONF '!$B$3</f>
        <v>0</v>
      </c>
      <c r="E234" s="221"/>
      <c r="F234" s="221"/>
      <c r="G234" s="221"/>
      <c r="H234" s="221"/>
      <c r="I234" s="221"/>
      <c r="J234" s="46"/>
      <c r="K234" s="47"/>
      <c r="L234" s="43"/>
      <c r="M234" s="43"/>
    </row>
    <row r="235" spans="1:13" ht="6.75" customHeight="1" x14ac:dyDescent="0.35">
      <c r="A235" s="43"/>
      <c r="B235" s="48"/>
      <c r="C235" s="46"/>
      <c r="D235" s="46"/>
      <c r="E235" s="46"/>
      <c r="F235" s="46"/>
      <c r="G235" s="46"/>
      <c r="H235" s="46"/>
      <c r="I235" s="46"/>
      <c r="J235" s="46"/>
      <c r="K235" s="47"/>
      <c r="L235" s="43"/>
      <c r="M235" s="43"/>
    </row>
    <row r="236" spans="1:13" ht="19.5" customHeight="1" x14ac:dyDescent="0.35">
      <c r="A236" s="43"/>
      <c r="B236" s="284">
        <f>+'CONF '!$D$2</f>
        <v>2</v>
      </c>
      <c r="C236" s="221"/>
      <c r="D236" s="221"/>
      <c r="E236" s="46"/>
      <c r="F236" s="46"/>
      <c r="G236" s="46"/>
      <c r="H236" s="46"/>
      <c r="I236" s="46"/>
      <c r="J236" s="46"/>
      <c r="K236" s="47"/>
      <c r="L236" s="43"/>
      <c r="M236" s="43"/>
    </row>
    <row r="237" spans="1:13" ht="6.75" customHeight="1" x14ac:dyDescent="0.35">
      <c r="A237" s="43"/>
      <c r="B237" s="44"/>
      <c r="C237" s="46"/>
      <c r="D237" s="46"/>
      <c r="E237" s="46"/>
      <c r="F237" s="46"/>
      <c r="G237" s="46"/>
      <c r="H237" s="46"/>
      <c r="I237" s="46"/>
      <c r="J237" s="46"/>
      <c r="K237" s="47"/>
      <c r="L237" s="43"/>
      <c r="M237" s="43"/>
    </row>
    <row r="238" spans="1:13" ht="15.75" customHeight="1" x14ac:dyDescent="0.35">
      <c r="A238" s="43"/>
      <c r="B238" s="49" t="s">
        <v>28</v>
      </c>
      <c r="C238" s="50">
        <f>+'CONF '!A14</f>
        <v>45615</v>
      </c>
      <c r="D238" s="51"/>
      <c r="E238" s="46"/>
      <c r="F238" s="52" t="s">
        <v>29</v>
      </c>
      <c r="G238" s="53">
        <f>+VLOOKUP(C240,'TARIFAS '!$A$3:$O$239,10,FALSE)</f>
        <v>0</v>
      </c>
      <c r="H238" s="46"/>
      <c r="I238" s="46"/>
      <c r="J238" s="46"/>
      <c r="K238" s="47"/>
      <c r="L238" s="43"/>
      <c r="M238" s="43"/>
    </row>
    <row r="239" spans="1:13" ht="12" customHeight="1" x14ac:dyDescent="0.35">
      <c r="A239" s="43"/>
      <c r="B239" s="54"/>
      <c r="C239" s="55"/>
      <c r="D239" s="56"/>
      <c r="E239" s="46"/>
      <c r="F239" s="57"/>
      <c r="G239" s="56"/>
      <c r="H239" s="46"/>
      <c r="I239" s="46"/>
      <c r="J239" s="46"/>
      <c r="K239" s="47"/>
      <c r="L239" s="43"/>
      <c r="M239" s="43"/>
    </row>
    <row r="240" spans="1:13" ht="14.25" customHeight="1" x14ac:dyDescent="0.35">
      <c r="A240" s="43"/>
      <c r="B240" s="285" t="s">
        <v>30</v>
      </c>
      <c r="C240" s="287" t="str">
        <f>+'CONF '!B14</f>
        <v>City Tour + Catedral de Sal Privativo</v>
      </c>
      <c r="D240" s="264"/>
      <c r="E240" s="264"/>
      <c r="F240" s="264"/>
      <c r="G240" s="288"/>
      <c r="H240" s="58"/>
      <c r="I240" s="290" t="s">
        <v>31</v>
      </c>
      <c r="J240" s="259">
        <f>+'CONF '!D54</f>
        <v>2360000</v>
      </c>
      <c r="K240" s="260"/>
      <c r="L240" s="43"/>
      <c r="M240" s="43"/>
    </row>
    <row r="241" spans="1:13" ht="14.25" customHeight="1" x14ac:dyDescent="0.35">
      <c r="A241" s="43"/>
      <c r="B241" s="286"/>
      <c r="C241" s="261"/>
      <c r="D241" s="261"/>
      <c r="E241" s="261"/>
      <c r="F241" s="261"/>
      <c r="G241" s="289"/>
      <c r="H241" s="46"/>
      <c r="I241" s="268"/>
      <c r="J241" s="261"/>
      <c r="K241" s="262"/>
      <c r="L241" s="43"/>
      <c r="M241" s="43"/>
    </row>
    <row r="242" spans="1:13" ht="15" customHeight="1" x14ac:dyDescent="0.35">
      <c r="A242" s="43"/>
      <c r="B242" s="285" t="s">
        <v>32</v>
      </c>
      <c r="C242" s="298">
        <f>+VLOOKUP(C240,'TARIFAS '!$A$3:$N$239,7,FALSE)</f>
        <v>0</v>
      </c>
      <c r="D242" s="264"/>
      <c r="E242" s="264"/>
      <c r="F242" s="264"/>
      <c r="G242" s="288"/>
      <c r="H242" s="58"/>
      <c r="I242" s="263">
        <f>+VLOOKUP(C240,'TARIFAS '!$A$3:$O$239,8,FALSE)*B236</f>
        <v>0</v>
      </c>
      <c r="J242" s="264"/>
      <c r="K242" s="260"/>
      <c r="L242" s="43"/>
      <c r="M242" s="43"/>
    </row>
    <row r="243" spans="1:13" ht="15" customHeight="1" x14ac:dyDescent="0.35">
      <c r="A243" s="43"/>
      <c r="B243" s="281"/>
      <c r="C243" s="221"/>
      <c r="D243" s="221"/>
      <c r="E243" s="221"/>
      <c r="F243" s="221"/>
      <c r="G243" s="292"/>
      <c r="H243" s="46"/>
      <c r="I243" s="265">
        <f>+VLOOKUP(C240,'TARIFAS '!$A$3:$O$239,9,FALSE)</f>
        <v>0</v>
      </c>
      <c r="J243" s="221"/>
      <c r="K243" s="266"/>
      <c r="L243" s="43"/>
      <c r="M243" s="43"/>
    </row>
    <row r="244" spans="1:13" ht="15" customHeight="1" x14ac:dyDescent="0.35">
      <c r="A244" s="43"/>
      <c r="B244" s="281"/>
      <c r="C244" s="221"/>
      <c r="D244" s="221"/>
      <c r="E244" s="221"/>
      <c r="F244" s="221"/>
      <c r="G244" s="292"/>
      <c r="H244" s="46"/>
      <c r="I244" s="267"/>
      <c r="J244" s="221"/>
      <c r="K244" s="266"/>
      <c r="L244" s="43"/>
      <c r="M244" s="43"/>
    </row>
    <row r="245" spans="1:13" ht="13.5" customHeight="1" x14ac:dyDescent="0.35">
      <c r="A245" s="43"/>
      <c r="B245" s="281"/>
      <c r="C245" s="221"/>
      <c r="D245" s="221"/>
      <c r="E245" s="221"/>
      <c r="F245" s="221"/>
      <c r="G245" s="292"/>
      <c r="H245" s="46"/>
      <c r="I245" s="267"/>
      <c r="J245" s="221"/>
      <c r="K245" s="266"/>
      <c r="L245" s="43"/>
      <c r="M245" s="43"/>
    </row>
    <row r="246" spans="1:13" ht="14.25" customHeight="1" x14ac:dyDescent="0.35">
      <c r="A246" s="43"/>
      <c r="B246" s="281"/>
      <c r="C246" s="221"/>
      <c r="D246" s="221"/>
      <c r="E246" s="221"/>
      <c r="F246" s="221"/>
      <c r="G246" s="292"/>
      <c r="H246" s="46"/>
      <c r="I246" s="267"/>
      <c r="J246" s="221"/>
      <c r="K246" s="266"/>
      <c r="L246" s="43"/>
      <c r="M246" s="43"/>
    </row>
    <row r="247" spans="1:13" ht="14.25" customHeight="1" x14ac:dyDescent="0.35">
      <c r="A247" s="43"/>
      <c r="B247" s="281"/>
      <c r="C247" s="221"/>
      <c r="D247" s="221"/>
      <c r="E247" s="221"/>
      <c r="F247" s="221"/>
      <c r="G247" s="292"/>
      <c r="H247" s="46"/>
      <c r="I247" s="267"/>
      <c r="J247" s="221"/>
      <c r="K247" s="266"/>
      <c r="L247" s="43"/>
      <c r="M247" s="43"/>
    </row>
    <row r="248" spans="1:13" ht="14.25" customHeight="1" x14ac:dyDescent="0.35">
      <c r="A248" s="43"/>
      <c r="B248" s="281"/>
      <c r="C248" s="261"/>
      <c r="D248" s="261"/>
      <c r="E248" s="261"/>
      <c r="F248" s="261"/>
      <c r="G248" s="289"/>
      <c r="H248" s="46"/>
      <c r="I248" s="268"/>
      <c r="J248" s="261"/>
      <c r="K248" s="262"/>
      <c r="L248" s="43"/>
      <c r="M248" s="43"/>
    </row>
    <row r="249" spans="1:13" ht="14.25" customHeight="1" x14ac:dyDescent="0.25">
      <c r="A249" s="43"/>
      <c r="B249" s="293" t="s">
        <v>33</v>
      </c>
      <c r="C249" s="279"/>
      <c r="D249" s="279"/>
      <c r="E249" s="279"/>
      <c r="F249" s="279"/>
      <c r="G249" s="279"/>
      <c r="H249" s="279"/>
      <c r="I249" s="279"/>
      <c r="J249" s="279"/>
      <c r="K249" s="280"/>
      <c r="L249" s="43"/>
      <c r="M249" s="43"/>
    </row>
    <row r="250" spans="1:13" ht="14.25" customHeight="1" x14ac:dyDescent="0.25">
      <c r="A250" s="43"/>
      <c r="B250" s="294"/>
      <c r="C250" s="295"/>
      <c r="D250" s="295"/>
      <c r="E250" s="295"/>
      <c r="F250" s="295"/>
      <c r="G250" s="295"/>
      <c r="H250" s="295"/>
      <c r="I250" s="295"/>
      <c r="J250" s="295"/>
      <c r="K250" s="296"/>
      <c r="L250" s="43"/>
      <c r="M250" s="43"/>
    </row>
    <row r="251" spans="1:13" ht="14.25" customHeight="1" x14ac:dyDescent="0.25">
      <c r="A251" s="43"/>
      <c r="B251" s="43"/>
      <c r="C251" s="43"/>
      <c r="D251" s="43"/>
      <c r="E251" s="43"/>
      <c r="F251" s="43"/>
      <c r="G251" s="43"/>
      <c r="H251" s="43"/>
      <c r="I251" s="43"/>
      <c r="J251" s="43"/>
      <c r="K251" s="43"/>
      <c r="L251" s="43"/>
      <c r="M251" s="43"/>
    </row>
    <row r="252" spans="1:13" ht="14.25" customHeight="1" x14ac:dyDescent="0.25">
      <c r="A252" s="43"/>
      <c r="B252" s="43"/>
      <c r="C252" s="43"/>
      <c r="D252" s="43"/>
      <c r="E252" s="43"/>
      <c r="F252" s="43"/>
      <c r="G252" s="43"/>
      <c r="H252" s="43"/>
      <c r="I252" s="43"/>
      <c r="J252" s="43"/>
      <c r="K252" s="43"/>
      <c r="L252" s="43"/>
      <c r="M252" s="43"/>
    </row>
    <row r="253" spans="1:13" ht="14.25" customHeight="1" x14ac:dyDescent="0.25">
      <c r="A253" s="43"/>
      <c r="B253" s="272"/>
      <c r="C253" s="273"/>
      <c r="D253" s="273"/>
      <c r="E253" s="273"/>
      <c r="F253" s="273"/>
      <c r="G253" s="273"/>
      <c r="H253" s="273"/>
      <c r="I253" s="273"/>
      <c r="J253" s="273"/>
      <c r="K253" s="274"/>
      <c r="L253" s="43"/>
      <c r="M253" s="43"/>
    </row>
    <row r="254" spans="1:13" ht="14.25" customHeight="1" x14ac:dyDescent="0.25">
      <c r="A254" s="43"/>
      <c r="B254" s="275"/>
      <c r="C254" s="276"/>
      <c r="D254" s="276"/>
      <c r="E254" s="276"/>
      <c r="F254" s="276"/>
      <c r="G254" s="276"/>
      <c r="H254" s="276"/>
      <c r="I254" s="276"/>
      <c r="J254" s="276"/>
      <c r="K254" s="277"/>
      <c r="L254" s="43"/>
      <c r="M254" s="43"/>
    </row>
    <row r="255" spans="1:13" ht="17.25" customHeight="1" x14ac:dyDescent="0.25">
      <c r="A255" s="43"/>
      <c r="B255" s="278" t="s">
        <v>27</v>
      </c>
      <c r="C255" s="279"/>
      <c r="D255" s="279"/>
      <c r="E255" s="279"/>
      <c r="F255" s="279"/>
      <c r="G255" s="279"/>
      <c r="H255" s="279"/>
      <c r="I255" s="279"/>
      <c r="J255" s="279"/>
      <c r="K255" s="280"/>
      <c r="L255" s="43"/>
      <c r="M255" s="43"/>
    </row>
    <row r="256" spans="1:13" ht="9" customHeight="1" x14ac:dyDescent="0.25">
      <c r="A256" s="43"/>
      <c r="B256" s="281"/>
      <c r="C256" s="221"/>
      <c r="D256" s="221"/>
      <c r="E256" s="221"/>
      <c r="F256" s="221"/>
      <c r="G256" s="221"/>
      <c r="H256" s="221"/>
      <c r="I256" s="221"/>
      <c r="J256" s="221"/>
      <c r="K256" s="266"/>
      <c r="L256" s="43"/>
      <c r="M256" s="43"/>
    </row>
    <row r="257" spans="1:13" ht="1.5" customHeight="1" x14ac:dyDescent="0.25">
      <c r="A257" s="43"/>
      <c r="B257" s="275"/>
      <c r="C257" s="276"/>
      <c r="D257" s="276"/>
      <c r="E257" s="276"/>
      <c r="F257" s="276"/>
      <c r="G257" s="276"/>
      <c r="H257" s="276"/>
      <c r="I257" s="276"/>
      <c r="J257" s="276"/>
      <c r="K257" s="277"/>
      <c r="L257" s="43"/>
      <c r="M257" s="43"/>
    </row>
    <row r="258" spans="1:13" ht="14.25" customHeight="1" x14ac:dyDescent="0.25">
      <c r="A258" s="43"/>
      <c r="B258" s="44"/>
      <c r="K258" s="45"/>
      <c r="L258" s="43"/>
      <c r="M258" s="43"/>
    </row>
    <row r="259" spans="1:13" ht="21" customHeight="1" x14ac:dyDescent="0.4">
      <c r="A259" s="43"/>
      <c r="B259" s="282" t="s">
        <v>0</v>
      </c>
      <c r="C259" s="221"/>
      <c r="D259" s="283">
        <f>'CONF '!$B$3</f>
        <v>0</v>
      </c>
      <c r="E259" s="221"/>
      <c r="F259" s="221"/>
      <c r="G259" s="221"/>
      <c r="H259" s="221"/>
      <c r="I259" s="221"/>
      <c r="J259" s="46"/>
      <c r="K259" s="47"/>
      <c r="L259" s="43"/>
      <c r="M259" s="43"/>
    </row>
    <row r="260" spans="1:13" ht="6.75" customHeight="1" x14ac:dyDescent="0.35">
      <c r="A260" s="43"/>
      <c r="B260" s="48"/>
      <c r="C260" s="46"/>
      <c r="D260" s="46"/>
      <c r="E260" s="46"/>
      <c r="F260" s="46"/>
      <c r="G260" s="46"/>
      <c r="H260" s="46"/>
      <c r="I260" s="46"/>
      <c r="J260" s="46"/>
      <c r="K260" s="47"/>
      <c r="L260" s="43"/>
      <c r="M260" s="43"/>
    </row>
    <row r="261" spans="1:13" ht="19.5" customHeight="1" x14ac:dyDescent="0.35">
      <c r="A261" s="43"/>
      <c r="B261" s="284">
        <f>+'CONF '!$D$2</f>
        <v>2</v>
      </c>
      <c r="C261" s="221"/>
      <c r="D261" s="221"/>
      <c r="E261" s="46"/>
      <c r="F261" s="46"/>
      <c r="G261" s="46"/>
      <c r="H261" s="46"/>
      <c r="I261" s="46"/>
      <c r="J261" s="46"/>
      <c r="K261" s="47"/>
      <c r="L261" s="43"/>
      <c r="M261" s="43"/>
    </row>
    <row r="262" spans="1:13" ht="6.75" customHeight="1" x14ac:dyDescent="0.35">
      <c r="A262" s="43"/>
      <c r="B262" s="44"/>
      <c r="C262" s="46"/>
      <c r="D262" s="46"/>
      <c r="E262" s="46"/>
      <c r="F262" s="46"/>
      <c r="G262" s="46"/>
      <c r="H262" s="46"/>
      <c r="I262" s="46"/>
      <c r="J262" s="46"/>
      <c r="K262" s="47"/>
      <c r="L262" s="43"/>
      <c r="M262" s="43"/>
    </row>
    <row r="263" spans="1:13" ht="15.75" customHeight="1" x14ac:dyDescent="0.35">
      <c r="A263" s="43"/>
      <c r="B263" s="49" t="s">
        <v>28</v>
      </c>
      <c r="C263" s="50">
        <f>+'CONF '!A15</f>
        <v>45616</v>
      </c>
      <c r="D263" s="51"/>
      <c r="E263" s="46"/>
      <c r="F263" s="52" t="s">
        <v>29</v>
      </c>
      <c r="G263" s="53">
        <f>+VLOOKUP(C265,'TARIFAS '!$A$3:$O$239,10,FALSE)</f>
        <v>0</v>
      </c>
      <c r="H263" s="46"/>
      <c r="I263" s="46"/>
      <c r="J263" s="46"/>
      <c r="K263" s="47"/>
      <c r="L263" s="43"/>
      <c r="M263" s="43"/>
    </row>
    <row r="264" spans="1:13" ht="12" customHeight="1" x14ac:dyDescent="0.35">
      <c r="A264" s="43"/>
      <c r="B264" s="54"/>
      <c r="C264" s="55"/>
      <c r="D264" s="56"/>
      <c r="E264" s="46"/>
      <c r="F264" s="57"/>
      <c r="G264" s="56"/>
      <c r="H264" s="46"/>
      <c r="I264" s="46"/>
      <c r="J264" s="46"/>
      <c r="K264" s="47"/>
      <c r="L264" s="43"/>
      <c r="M264" s="43"/>
    </row>
    <row r="265" spans="1:13" ht="14.25" customHeight="1" x14ac:dyDescent="0.35">
      <c r="A265" s="43"/>
      <c r="B265" s="285" t="s">
        <v>30</v>
      </c>
      <c r="C265" s="287" t="str">
        <f>+'CONF '!B15</f>
        <v>Aluguel De Moto Elétrica 2 Pessoas</v>
      </c>
      <c r="D265" s="264"/>
      <c r="E265" s="264"/>
      <c r="F265" s="264"/>
      <c r="G265" s="288"/>
      <c r="H265" s="58"/>
      <c r="I265" s="290" t="s">
        <v>31</v>
      </c>
      <c r="J265" s="259">
        <f>+'CONF '!D55</f>
        <v>160000</v>
      </c>
      <c r="K265" s="260"/>
      <c r="L265" s="43"/>
      <c r="M265" s="43"/>
    </row>
    <row r="266" spans="1:13" ht="14.25" customHeight="1" x14ac:dyDescent="0.35">
      <c r="A266" s="43"/>
      <c r="B266" s="286"/>
      <c r="C266" s="261"/>
      <c r="D266" s="261"/>
      <c r="E266" s="261"/>
      <c r="F266" s="261"/>
      <c r="G266" s="289"/>
      <c r="H266" s="46"/>
      <c r="I266" s="268"/>
      <c r="J266" s="261"/>
      <c r="K266" s="262"/>
      <c r="L266" s="43"/>
      <c r="M266" s="43"/>
    </row>
    <row r="267" spans="1:13" ht="15" customHeight="1" x14ac:dyDescent="0.35">
      <c r="A267" s="43"/>
      <c r="B267" s="285" t="s">
        <v>32</v>
      </c>
      <c r="C267" s="291" t="str">
        <f>+VLOOKUP(C265,'TARIFAS '!$A$3:$N$239,7,FALSE)</f>
        <v>Apresentar-se na Cidade Amuralhada, Calle 2a de Badillo 36 – 54 - 58 P 1 emabixo do hostal Badillo 
 Diagonal ao Restaurante La Vitrola</v>
      </c>
      <c r="D267" s="264"/>
      <c r="E267" s="264"/>
      <c r="F267" s="264"/>
      <c r="G267" s="288"/>
      <c r="H267" s="58"/>
      <c r="I267" s="263">
        <f>+VLOOKUP(C265,'TARIFAS '!$A$3:$O$239,8,FALSE)*B261</f>
        <v>0</v>
      </c>
      <c r="J267" s="264"/>
      <c r="K267" s="260"/>
      <c r="L267" s="43"/>
      <c r="M267" s="43"/>
    </row>
    <row r="268" spans="1:13" ht="15" customHeight="1" x14ac:dyDescent="0.35">
      <c r="A268" s="43"/>
      <c r="B268" s="281"/>
      <c r="C268" s="221"/>
      <c r="D268" s="221"/>
      <c r="E268" s="221"/>
      <c r="F268" s="221"/>
      <c r="G268" s="292"/>
      <c r="H268" s="46"/>
      <c r="I268" s="265">
        <f>+VLOOKUP(C265,'TARIFAS '!$A$3:$O$239,9,FALSE)</f>
        <v>0</v>
      </c>
      <c r="J268" s="221"/>
      <c r="K268" s="266"/>
      <c r="L268" s="43"/>
      <c r="M268" s="43"/>
    </row>
    <row r="269" spans="1:13" ht="15" customHeight="1" x14ac:dyDescent="0.35">
      <c r="A269" s="43"/>
      <c r="B269" s="281"/>
      <c r="C269" s="221"/>
      <c r="D269" s="221"/>
      <c r="E269" s="221"/>
      <c r="F269" s="221"/>
      <c r="G269" s="292"/>
      <c r="H269" s="46"/>
      <c r="I269" s="267"/>
      <c r="J269" s="221"/>
      <c r="K269" s="266"/>
      <c r="L269" s="43"/>
      <c r="M269" s="43"/>
    </row>
    <row r="270" spans="1:13" ht="13.5" customHeight="1" x14ac:dyDescent="0.35">
      <c r="A270" s="43"/>
      <c r="B270" s="281"/>
      <c r="C270" s="221"/>
      <c r="D270" s="221"/>
      <c r="E270" s="221"/>
      <c r="F270" s="221"/>
      <c r="G270" s="292"/>
      <c r="H270" s="46"/>
      <c r="I270" s="267"/>
      <c r="J270" s="221"/>
      <c r="K270" s="266"/>
      <c r="L270" s="43"/>
      <c r="M270" s="43"/>
    </row>
    <row r="271" spans="1:13" ht="14.25" customHeight="1" x14ac:dyDescent="0.35">
      <c r="A271" s="43"/>
      <c r="B271" s="281"/>
      <c r="C271" s="221"/>
      <c r="D271" s="221"/>
      <c r="E271" s="221"/>
      <c r="F271" s="221"/>
      <c r="G271" s="292"/>
      <c r="H271" s="46"/>
      <c r="I271" s="267"/>
      <c r="J271" s="221"/>
      <c r="K271" s="266"/>
      <c r="L271" s="43"/>
      <c r="M271" s="43"/>
    </row>
    <row r="272" spans="1:13" ht="14.25" customHeight="1" x14ac:dyDescent="0.35">
      <c r="A272" s="43"/>
      <c r="B272" s="281"/>
      <c r="C272" s="221"/>
      <c r="D272" s="221"/>
      <c r="E272" s="221"/>
      <c r="F272" s="221"/>
      <c r="G272" s="292"/>
      <c r="H272" s="46"/>
      <c r="I272" s="267"/>
      <c r="J272" s="221"/>
      <c r="K272" s="266"/>
      <c r="L272" s="43"/>
      <c r="M272" s="43"/>
    </row>
    <row r="273" spans="1:13" ht="14.25" customHeight="1" x14ac:dyDescent="0.35">
      <c r="A273" s="43"/>
      <c r="B273" s="281"/>
      <c r="C273" s="261"/>
      <c r="D273" s="261"/>
      <c r="E273" s="261"/>
      <c r="F273" s="261"/>
      <c r="G273" s="289"/>
      <c r="H273" s="46"/>
      <c r="I273" s="268"/>
      <c r="J273" s="261"/>
      <c r="K273" s="262"/>
      <c r="L273" s="43"/>
      <c r="M273" s="43"/>
    </row>
    <row r="274" spans="1:13" ht="14.25" customHeight="1" x14ac:dyDescent="0.25">
      <c r="A274" s="43"/>
      <c r="B274" s="293" t="s">
        <v>33</v>
      </c>
      <c r="C274" s="279"/>
      <c r="D274" s="279"/>
      <c r="E274" s="279"/>
      <c r="F274" s="279"/>
      <c r="G274" s="279"/>
      <c r="H274" s="279"/>
      <c r="I274" s="279"/>
      <c r="J274" s="279"/>
      <c r="K274" s="280"/>
      <c r="L274" s="43"/>
      <c r="M274" s="43"/>
    </row>
    <row r="275" spans="1:13" ht="14.25" customHeight="1" x14ac:dyDescent="0.25">
      <c r="A275" s="43"/>
      <c r="B275" s="294"/>
      <c r="C275" s="295"/>
      <c r="D275" s="295"/>
      <c r="E275" s="295"/>
      <c r="F275" s="295"/>
      <c r="G275" s="295"/>
      <c r="H275" s="295"/>
      <c r="I275" s="295"/>
      <c r="J275" s="295"/>
      <c r="K275" s="296"/>
      <c r="L275" s="43"/>
      <c r="M275" s="43"/>
    </row>
    <row r="276" spans="1:13" ht="14.25" customHeight="1" x14ac:dyDescent="0.25">
      <c r="A276" s="43"/>
      <c r="B276" s="43"/>
      <c r="C276" s="43"/>
      <c r="D276" s="43"/>
      <c r="E276" s="43"/>
      <c r="F276" s="43"/>
      <c r="G276" s="43"/>
      <c r="H276" s="43"/>
      <c r="I276" s="43"/>
      <c r="J276" s="43"/>
      <c r="K276" s="43"/>
      <c r="L276" s="43"/>
      <c r="M276" s="43"/>
    </row>
    <row r="277" spans="1:13" ht="14.25" customHeight="1" x14ac:dyDescent="0.25">
      <c r="A277" s="43"/>
      <c r="B277" s="43"/>
      <c r="C277" s="43"/>
      <c r="D277" s="43"/>
      <c r="E277" s="43"/>
      <c r="F277" s="43"/>
      <c r="G277" s="43"/>
      <c r="H277" s="43"/>
      <c r="I277" s="43"/>
      <c r="J277" s="43"/>
      <c r="K277" s="43"/>
      <c r="L277" s="43"/>
      <c r="M277" s="43"/>
    </row>
    <row r="278" spans="1:13" ht="14.25" customHeight="1" x14ac:dyDescent="0.25">
      <c r="A278" s="43"/>
      <c r="B278" s="272"/>
      <c r="C278" s="273"/>
      <c r="D278" s="273"/>
      <c r="E278" s="273"/>
      <c r="F278" s="273"/>
      <c r="G278" s="273"/>
      <c r="H278" s="273"/>
      <c r="I278" s="273"/>
      <c r="J278" s="273"/>
      <c r="K278" s="274"/>
      <c r="L278" s="43"/>
      <c r="M278" s="43"/>
    </row>
    <row r="279" spans="1:13" ht="14.25" customHeight="1" x14ac:dyDescent="0.25">
      <c r="A279" s="43"/>
      <c r="B279" s="275"/>
      <c r="C279" s="276"/>
      <c r="D279" s="276"/>
      <c r="E279" s="276"/>
      <c r="F279" s="276"/>
      <c r="G279" s="276"/>
      <c r="H279" s="276"/>
      <c r="I279" s="276"/>
      <c r="J279" s="276"/>
      <c r="K279" s="277"/>
      <c r="L279" s="43"/>
      <c r="M279" s="43"/>
    </row>
    <row r="280" spans="1:13" ht="17.25" customHeight="1" x14ac:dyDescent="0.25">
      <c r="A280" s="43"/>
      <c r="B280" s="278" t="s">
        <v>27</v>
      </c>
      <c r="C280" s="279"/>
      <c r="D280" s="279"/>
      <c r="E280" s="279"/>
      <c r="F280" s="279"/>
      <c r="G280" s="279"/>
      <c r="H280" s="279"/>
      <c r="I280" s="279"/>
      <c r="J280" s="279"/>
      <c r="K280" s="280"/>
      <c r="L280" s="43"/>
      <c r="M280" s="43"/>
    </row>
    <row r="281" spans="1:13" ht="9" customHeight="1" x14ac:dyDescent="0.25">
      <c r="A281" s="43"/>
      <c r="B281" s="281"/>
      <c r="C281" s="221"/>
      <c r="D281" s="221"/>
      <c r="E281" s="221"/>
      <c r="F281" s="221"/>
      <c r="G281" s="221"/>
      <c r="H281" s="221"/>
      <c r="I281" s="221"/>
      <c r="J281" s="221"/>
      <c r="K281" s="266"/>
      <c r="L281" s="43"/>
      <c r="M281" s="43"/>
    </row>
    <row r="282" spans="1:13" ht="1.5" customHeight="1" x14ac:dyDescent="0.25">
      <c r="A282" s="43"/>
      <c r="B282" s="275"/>
      <c r="C282" s="276"/>
      <c r="D282" s="276"/>
      <c r="E282" s="276"/>
      <c r="F282" s="276"/>
      <c r="G282" s="276"/>
      <c r="H282" s="276"/>
      <c r="I282" s="276"/>
      <c r="J282" s="276"/>
      <c r="K282" s="277"/>
      <c r="L282" s="43"/>
      <c r="M282" s="43"/>
    </row>
    <row r="283" spans="1:13" ht="14.25" customHeight="1" x14ac:dyDescent="0.25">
      <c r="A283" s="43"/>
      <c r="B283" s="44"/>
      <c r="K283" s="45"/>
      <c r="L283" s="43"/>
      <c r="M283" s="43"/>
    </row>
    <row r="284" spans="1:13" ht="21" customHeight="1" x14ac:dyDescent="0.4">
      <c r="A284" s="43"/>
      <c r="B284" s="282" t="s">
        <v>0</v>
      </c>
      <c r="C284" s="221"/>
      <c r="D284" s="283">
        <f>'CONF '!$B$3</f>
        <v>0</v>
      </c>
      <c r="E284" s="221"/>
      <c r="F284" s="221"/>
      <c r="G284" s="221"/>
      <c r="H284" s="221"/>
      <c r="I284" s="221"/>
      <c r="J284" s="46"/>
      <c r="K284" s="47"/>
      <c r="L284" s="43"/>
      <c r="M284" s="43"/>
    </row>
    <row r="285" spans="1:13" ht="6.75" customHeight="1" x14ac:dyDescent="0.35">
      <c r="A285" s="43"/>
      <c r="B285" s="48"/>
      <c r="C285" s="46"/>
      <c r="D285" s="46"/>
      <c r="E285" s="46"/>
      <c r="F285" s="46"/>
      <c r="G285" s="46"/>
      <c r="H285" s="46"/>
      <c r="I285" s="46"/>
      <c r="J285" s="46"/>
      <c r="K285" s="47"/>
      <c r="L285" s="43"/>
      <c r="M285" s="43"/>
    </row>
    <row r="286" spans="1:13" ht="19.5" customHeight="1" x14ac:dyDescent="0.35">
      <c r="A286" s="43"/>
      <c r="B286" s="284">
        <f>+'CONF '!$D$2</f>
        <v>2</v>
      </c>
      <c r="C286" s="221"/>
      <c r="D286" s="221"/>
      <c r="E286" s="46"/>
      <c r="F286" s="46"/>
      <c r="G286" s="46"/>
      <c r="H286" s="46"/>
      <c r="I286" s="46"/>
      <c r="J286" s="46"/>
      <c r="K286" s="47"/>
      <c r="L286" s="43"/>
      <c r="M286" s="43"/>
    </row>
    <row r="287" spans="1:13" ht="6.75" customHeight="1" x14ac:dyDescent="0.35">
      <c r="A287" s="43"/>
      <c r="B287" s="44"/>
      <c r="C287" s="46"/>
      <c r="D287" s="46"/>
      <c r="E287" s="46"/>
      <c r="F287" s="46"/>
      <c r="G287" s="46"/>
      <c r="H287" s="46"/>
      <c r="I287" s="46"/>
      <c r="J287" s="46"/>
      <c r="K287" s="47"/>
      <c r="L287" s="43"/>
      <c r="M287" s="43"/>
    </row>
    <row r="288" spans="1:13" ht="15.75" customHeight="1" x14ac:dyDescent="0.35">
      <c r="A288" s="43"/>
      <c r="B288" s="49" t="s">
        <v>28</v>
      </c>
      <c r="C288" s="50">
        <f>+'CONF '!A16</f>
        <v>45617</v>
      </c>
      <c r="D288" s="51"/>
      <c r="E288" s="46"/>
      <c r="F288" s="52" t="s">
        <v>29</v>
      </c>
      <c r="G288" s="53">
        <f>+VLOOKUP(C290,'TARIFAS '!$A$3:$O$239,10,FALSE)</f>
        <v>0</v>
      </c>
      <c r="H288" s="46"/>
      <c r="I288" s="46"/>
      <c r="J288" s="46"/>
      <c r="K288" s="47"/>
      <c r="L288" s="43"/>
      <c r="M288" s="43"/>
    </row>
    <row r="289" spans="1:13" ht="12" customHeight="1" x14ac:dyDescent="0.35">
      <c r="A289" s="43"/>
      <c r="B289" s="54"/>
      <c r="C289" s="55"/>
      <c r="D289" s="56"/>
      <c r="E289" s="46"/>
      <c r="F289" s="57"/>
      <c r="G289" s="56"/>
      <c r="H289" s="46"/>
      <c r="I289" s="46"/>
      <c r="J289" s="46"/>
      <c r="K289" s="47"/>
      <c r="L289" s="43"/>
      <c r="M289" s="43"/>
    </row>
    <row r="290" spans="1:13" ht="14.25" customHeight="1" x14ac:dyDescent="0.35">
      <c r="A290" s="43"/>
      <c r="B290" s="285" t="s">
        <v>30</v>
      </c>
      <c r="C290" s="287" t="str">
        <f>+'CONF '!B16</f>
        <v>City Tour + Catedral de Sal Privativo</v>
      </c>
      <c r="D290" s="264"/>
      <c r="E290" s="264"/>
      <c r="F290" s="264"/>
      <c r="G290" s="288"/>
      <c r="H290" s="58"/>
      <c r="I290" s="290" t="s">
        <v>31</v>
      </c>
      <c r="J290" s="259">
        <f>+'CONF '!D56</f>
        <v>2360000</v>
      </c>
      <c r="K290" s="260"/>
      <c r="L290" s="43"/>
      <c r="M290" s="43"/>
    </row>
    <row r="291" spans="1:13" ht="14.25" customHeight="1" x14ac:dyDescent="0.35">
      <c r="A291" s="43"/>
      <c r="B291" s="286"/>
      <c r="C291" s="261"/>
      <c r="D291" s="261"/>
      <c r="E291" s="261"/>
      <c r="F291" s="261"/>
      <c r="G291" s="289"/>
      <c r="H291" s="46"/>
      <c r="I291" s="268"/>
      <c r="J291" s="261"/>
      <c r="K291" s="262"/>
      <c r="L291" s="43"/>
      <c r="M291" s="43"/>
    </row>
    <row r="292" spans="1:13" ht="15" customHeight="1" x14ac:dyDescent="0.35">
      <c r="A292" s="43"/>
      <c r="B292" s="285" t="s">
        <v>32</v>
      </c>
      <c r="C292" s="298">
        <f>+VLOOKUP(C290,'TARIFAS '!$A$3:$N$239,7,FALSE)</f>
        <v>0</v>
      </c>
      <c r="D292" s="264"/>
      <c r="E292" s="264"/>
      <c r="F292" s="264"/>
      <c r="G292" s="288"/>
      <c r="H292" s="58"/>
      <c r="I292" s="263">
        <f>+VLOOKUP(C290,'TARIFAS '!$A$3:$O$239,8,FALSE)*B286</f>
        <v>0</v>
      </c>
      <c r="J292" s="264"/>
      <c r="K292" s="260"/>
      <c r="L292" s="43"/>
      <c r="M292" s="43"/>
    </row>
    <row r="293" spans="1:13" ht="15" customHeight="1" x14ac:dyDescent="0.35">
      <c r="A293" s="43"/>
      <c r="B293" s="281"/>
      <c r="C293" s="221"/>
      <c r="D293" s="221"/>
      <c r="E293" s="221"/>
      <c r="F293" s="221"/>
      <c r="G293" s="292"/>
      <c r="H293" s="46"/>
      <c r="I293" s="265">
        <f>+VLOOKUP(C290,'TARIFAS '!$A$3:$O$239,9,FALSE)</f>
        <v>0</v>
      </c>
      <c r="J293" s="221"/>
      <c r="K293" s="266"/>
      <c r="L293" s="43"/>
      <c r="M293" s="43"/>
    </row>
    <row r="294" spans="1:13" ht="15" customHeight="1" x14ac:dyDescent="0.35">
      <c r="A294" s="43"/>
      <c r="B294" s="281"/>
      <c r="C294" s="221"/>
      <c r="D294" s="221"/>
      <c r="E294" s="221"/>
      <c r="F294" s="221"/>
      <c r="G294" s="292"/>
      <c r="H294" s="46"/>
      <c r="I294" s="267"/>
      <c r="J294" s="221"/>
      <c r="K294" s="266"/>
      <c r="L294" s="43"/>
      <c r="M294" s="43"/>
    </row>
    <row r="295" spans="1:13" ht="13.5" customHeight="1" x14ac:dyDescent="0.35">
      <c r="A295" s="43"/>
      <c r="B295" s="281"/>
      <c r="C295" s="221"/>
      <c r="D295" s="221"/>
      <c r="E295" s="221"/>
      <c r="F295" s="221"/>
      <c r="G295" s="292"/>
      <c r="H295" s="46"/>
      <c r="I295" s="267"/>
      <c r="J295" s="221"/>
      <c r="K295" s="266"/>
      <c r="L295" s="43"/>
      <c r="M295" s="43"/>
    </row>
    <row r="296" spans="1:13" ht="14.25" customHeight="1" x14ac:dyDescent="0.35">
      <c r="A296" s="43"/>
      <c r="B296" s="281"/>
      <c r="C296" s="221"/>
      <c r="D296" s="221"/>
      <c r="E296" s="221"/>
      <c r="F296" s="221"/>
      <c r="G296" s="292"/>
      <c r="H296" s="46"/>
      <c r="I296" s="267"/>
      <c r="J296" s="221"/>
      <c r="K296" s="266"/>
      <c r="L296" s="43"/>
      <c r="M296" s="43"/>
    </row>
    <row r="297" spans="1:13" ht="14.25" customHeight="1" x14ac:dyDescent="0.35">
      <c r="A297" s="43"/>
      <c r="B297" s="281"/>
      <c r="C297" s="221"/>
      <c r="D297" s="221"/>
      <c r="E297" s="221"/>
      <c r="F297" s="221"/>
      <c r="G297" s="292"/>
      <c r="H297" s="46"/>
      <c r="I297" s="267"/>
      <c r="J297" s="221"/>
      <c r="K297" s="266"/>
      <c r="L297" s="43"/>
      <c r="M297" s="43"/>
    </row>
    <row r="298" spans="1:13" ht="14.25" customHeight="1" x14ac:dyDescent="0.35">
      <c r="A298" s="43"/>
      <c r="B298" s="281"/>
      <c r="C298" s="261"/>
      <c r="D298" s="261"/>
      <c r="E298" s="261"/>
      <c r="F298" s="261"/>
      <c r="G298" s="289"/>
      <c r="H298" s="46"/>
      <c r="I298" s="268"/>
      <c r="J298" s="261"/>
      <c r="K298" s="262"/>
      <c r="L298" s="43"/>
      <c r="M298" s="43"/>
    </row>
    <row r="299" spans="1:13" ht="14.25" customHeight="1" x14ac:dyDescent="0.25">
      <c r="A299" s="43"/>
      <c r="B299" s="293" t="s">
        <v>33</v>
      </c>
      <c r="C299" s="279"/>
      <c r="D299" s="279"/>
      <c r="E299" s="279"/>
      <c r="F299" s="279"/>
      <c r="G299" s="279"/>
      <c r="H299" s="279"/>
      <c r="I299" s="279"/>
      <c r="J299" s="279"/>
      <c r="K299" s="280"/>
      <c r="L299" s="43"/>
      <c r="M299" s="43"/>
    </row>
    <row r="300" spans="1:13" ht="14.25" customHeight="1" x14ac:dyDescent="0.25">
      <c r="A300" s="43"/>
      <c r="B300" s="294"/>
      <c r="C300" s="295"/>
      <c r="D300" s="295"/>
      <c r="E300" s="295"/>
      <c r="F300" s="295"/>
      <c r="G300" s="295"/>
      <c r="H300" s="295"/>
      <c r="I300" s="295"/>
      <c r="J300" s="295"/>
      <c r="K300" s="296"/>
      <c r="L300" s="43"/>
      <c r="M300" s="43"/>
    </row>
    <row r="301" spans="1:13" ht="14.25" customHeight="1" x14ac:dyDescent="0.25">
      <c r="A301" s="43"/>
      <c r="B301" s="43"/>
      <c r="C301" s="43"/>
      <c r="D301" s="43"/>
      <c r="E301" s="43"/>
      <c r="F301" s="43"/>
      <c r="G301" s="43"/>
      <c r="H301" s="43"/>
      <c r="I301" s="43"/>
      <c r="J301" s="43"/>
      <c r="K301" s="43"/>
      <c r="L301" s="43"/>
      <c r="M301" s="43"/>
    </row>
    <row r="302" spans="1:13" ht="14.25" customHeight="1" x14ac:dyDescent="0.25">
      <c r="A302" s="43"/>
      <c r="B302" s="43"/>
      <c r="C302" s="43"/>
      <c r="D302" s="43"/>
      <c r="E302" s="43"/>
      <c r="F302" s="43"/>
      <c r="G302" s="43"/>
      <c r="H302" s="43"/>
      <c r="I302" s="43"/>
      <c r="J302" s="43"/>
      <c r="K302" s="43"/>
      <c r="L302" s="43"/>
      <c r="M302" s="43"/>
    </row>
    <row r="303" spans="1:13" ht="14.25" customHeight="1" x14ac:dyDescent="0.25">
      <c r="A303" s="43"/>
      <c r="B303" s="272"/>
      <c r="C303" s="273"/>
      <c r="D303" s="273"/>
      <c r="E303" s="273"/>
      <c r="F303" s="273"/>
      <c r="G303" s="273"/>
      <c r="H303" s="273"/>
      <c r="I303" s="273"/>
      <c r="J303" s="273"/>
      <c r="K303" s="274"/>
      <c r="L303" s="43"/>
      <c r="M303" s="43"/>
    </row>
    <row r="304" spans="1:13" ht="14.25" customHeight="1" x14ac:dyDescent="0.25">
      <c r="A304" s="43"/>
      <c r="B304" s="275"/>
      <c r="C304" s="276"/>
      <c r="D304" s="276"/>
      <c r="E304" s="276"/>
      <c r="F304" s="276"/>
      <c r="G304" s="276"/>
      <c r="H304" s="276"/>
      <c r="I304" s="276"/>
      <c r="J304" s="276"/>
      <c r="K304" s="277"/>
      <c r="L304" s="43"/>
      <c r="M304" s="43"/>
    </row>
    <row r="305" spans="1:13" ht="17.25" customHeight="1" x14ac:dyDescent="0.25">
      <c r="A305" s="43"/>
      <c r="B305" s="278" t="s">
        <v>27</v>
      </c>
      <c r="C305" s="279"/>
      <c r="D305" s="279"/>
      <c r="E305" s="279"/>
      <c r="F305" s="279"/>
      <c r="G305" s="279"/>
      <c r="H305" s="279"/>
      <c r="I305" s="279"/>
      <c r="J305" s="279"/>
      <c r="K305" s="280"/>
      <c r="L305" s="43"/>
      <c r="M305" s="43"/>
    </row>
    <row r="306" spans="1:13" ht="9" customHeight="1" x14ac:dyDescent="0.25">
      <c r="A306" s="43"/>
      <c r="B306" s="281"/>
      <c r="C306" s="221"/>
      <c r="D306" s="221"/>
      <c r="E306" s="221"/>
      <c r="F306" s="221"/>
      <c r="G306" s="221"/>
      <c r="H306" s="221"/>
      <c r="I306" s="221"/>
      <c r="J306" s="221"/>
      <c r="K306" s="266"/>
      <c r="L306" s="43"/>
      <c r="M306" s="43"/>
    </row>
    <row r="307" spans="1:13" ht="1.5" customHeight="1" x14ac:dyDescent="0.25">
      <c r="A307" s="43"/>
      <c r="B307" s="275"/>
      <c r="C307" s="276"/>
      <c r="D307" s="276"/>
      <c r="E307" s="276"/>
      <c r="F307" s="276"/>
      <c r="G307" s="276"/>
      <c r="H307" s="276"/>
      <c r="I307" s="276"/>
      <c r="J307" s="276"/>
      <c r="K307" s="277"/>
      <c r="L307" s="43"/>
      <c r="M307" s="43"/>
    </row>
    <row r="308" spans="1:13" ht="14.25" customHeight="1" x14ac:dyDescent="0.25">
      <c r="A308" s="43"/>
      <c r="B308" s="44"/>
      <c r="K308" s="45"/>
      <c r="L308" s="43"/>
      <c r="M308" s="43"/>
    </row>
    <row r="309" spans="1:13" ht="21" customHeight="1" x14ac:dyDescent="0.4">
      <c r="A309" s="43"/>
      <c r="B309" s="282" t="s">
        <v>0</v>
      </c>
      <c r="C309" s="221"/>
      <c r="D309" s="283">
        <f>'CONF '!$B$3</f>
        <v>0</v>
      </c>
      <c r="E309" s="221"/>
      <c r="F309" s="221"/>
      <c r="G309" s="221"/>
      <c r="H309" s="221"/>
      <c r="I309" s="221"/>
      <c r="J309" s="46"/>
      <c r="K309" s="47"/>
      <c r="L309" s="43"/>
      <c r="M309" s="43"/>
    </row>
    <row r="310" spans="1:13" ht="6.75" customHeight="1" x14ac:dyDescent="0.35">
      <c r="A310" s="43"/>
      <c r="B310" s="48"/>
      <c r="C310" s="46"/>
      <c r="D310" s="46"/>
      <c r="E310" s="46"/>
      <c r="F310" s="46"/>
      <c r="G310" s="46"/>
      <c r="H310" s="46"/>
      <c r="I310" s="46"/>
      <c r="J310" s="46"/>
      <c r="K310" s="47"/>
      <c r="L310" s="43"/>
      <c r="M310" s="43"/>
    </row>
    <row r="311" spans="1:13" ht="19.5" customHeight="1" x14ac:dyDescent="0.35">
      <c r="A311" s="43"/>
      <c r="B311" s="284">
        <f>+'CONF '!$D$2</f>
        <v>2</v>
      </c>
      <c r="C311" s="221"/>
      <c r="D311" s="221"/>
      <c r="E311" s="46"/>
      <c r="F311" s="46"/>
      <c r="G311" s="46"/>
      <c r="H311" s="46"/>
      <c r="I311" s="46"/>
      <c r="J311" s="46"/>
      <c r="K311" s="47"/>
      <c r="L311" s="43"/>
      <c r="M311" s="43"/>
    </row>
    <row r="312" spans="1:13" ht="6.75" customHeight="1" x14ac:dyDescent="0.35">
      <c r="A312" s="43"/>
      <c r="B312" s="44"/>
      <c r="C312" s="46"/>
      <c r="D312" s="46"/>
      <c r="E312" s="46"/>
      <c r="F312" s="46"/>
      <c r="G312" s="46"/>
      <c r="H312" s="46"/>
      <c r="I312" s="46"/>
      <c r="J312" s="46"/>
      <c r="K312" s="47"/>
      <c r="L312" s="43"/>
      <c r="M312" s="43"/>
    </row>
    <row r="313" spans="1:13" ht="15.75" customHeight="1" x14ac:dyDescent="0.35">
      <c r="A313" s="43"/>
      <c r="B313" s="49" t="s">
        <v>28</v>
      </c>
      <c r="C313" s="50">
        <f>+'CONF '!A17</f>
        <v>45618</v>
      </c>
      <c r="D313" s="51"/>
      <c r="E313" s="46"/>
      <c r="F313" s="52" t="s">
        <v>29</v>
      </c>
      <c r="G313" s="53">
        <f>+VLOOKUP(C315,'TARIFAS '!$A$3:$O$239,10,FALSE)</f>
        <v>0</v>
      </c>
      <c r="H313" s="46"/>
      <c r="I313" s="46"/>
      <c r="J313" s="46"/>
      <c r="K313" s="47"/>
      <c r="L313" s="43"/>
      <c r="M313" s="43"/>
    </row>
    <row r="314" spans="1:13" ht="12" customHeight="1" x14ac:dyDescent="0.35">
      <c r="A314" s="43"/>
      <c r="B314" s="54"/>
      <c r="C314" s="55"/>
      <c r="D314" s="56"/>
      <c r="E314" s="46"/>
      <c r="F314" s="57"/>
      <c r="G314" s="56"/>
      <c r="H314" s="46"/>
      <c r="I314" s="46"/>
      <c r="J314" s="46"/>
      <c r="K314" s="47"/>
      <c r="L314" s="43"/>
      <c r="M314" s="43"/>
    </row>
    <row r="315" spans="1:13" ht="14.25" customHeight="1" x14ac:dyDescent="0.35">
      <c r="A315" s="43"/>
      <c r="B315" s="285" t="s">
        <v>30</v>
      </c>
      <c r="C315" s="287" t="str">
        <f>+'CONF '!B17</f>
        <v>Tour en lancha privativa JOE 2024</v>
      </c>
      <c r="D315" s="264"/>
      <c r="E315" s="264"/>
      <c r="F315" s="264"/>
      <c r="G315" s="288"/>
      <c r="H315" s="58"/>
      <c r="I315" s="290" t="s">
        <v>31</v>
      </c>
      <c r="J315" s="259">
        <f>+'CONF '!D57</f>
        <v>2700000</v>
      </c>
      <c r="K315" s="260"/>
      <c r="L315" s="43"/>
      <c r="M315" s="43"/>
    </row>
    <row r="316" spans="1:13" ht="14.25" customHeight="1" x14ac:dyDescent="0.35">
      <c r="A316" s="43"/>
      <c r="B316" s="286"/>
      <c r="C316" s="261"/>
      <c r="D316" s="261"/>
      <c r="E316" s="261"/>
      <c r="F316" s="261"/>
      <c r="G316" s="289"/>
      <c r="H316" s="46"/>
      <c r="I316" s="268"/>
      <c r="J316" s="261"/>
      <c r="K316" s="262"/>
      <c r="L316" s="43"/>
      <c r="M316" s="43"/>
    </row>
    <row r="317" spans="1:13" ht="15" customHeight="1" x14ac:dyDescent="0.35">
      <c r="A317" s="43"/>
      <c r="B317" s="285" t="s">
        <v>32</v>
      </c>
      <c r="C317" s="297">
        <f>+VLOOKUP(C315,'TARIFAS '!$A$3:$N$239,7,FALSE)</f>
        <v>0</v>
      </c>
      <c r="D317" s="264"/>
      <c r="E317" s="264"/>
      <c r="F317" s="264"/>
      <c r="G317" s="288"/>
      <c r="H317" s="58"/>
      <c r="I317" s="263">
        <f>+VLOOKUP(C315,'TARIFAS '!$A$3:$O$239,8,FALSE)*B311</f>
        <v>0</v>
      </c>
      <c r="J317" s="264"/>
      <c r="K317" s="260"/>
      <c r="L317" s="43"/>
      <c r="M317" s="43"/>
    </row>
    <row r="318" spans="1:13" ht="15" customHeight="1" x14ac:dyDescent="0.35">
      <c r="A318" s="43"/>
      <c r="B318" s="281"/>
      <c r="C318" s="221"/>
      <c r="D318" s="221"/>
      <c r="E318" s="221"/>
      <c r="F318" s="221"/>
      <c r="G318" s="292"/>
      <c r="H318" s="46"/>
      <c r="I318" s="265">
        <f>+VLOOKUP(C315,'TARIFAS '!$A$3:$O$239,9,FALSE)</f>
        <v>0</v>
      </c>
      <c r="J318" s="221"/>
      <c r="K318" s="266"/>
      <c r="L318" s="43"/>
      <c r="M318" s="43"/>
    </row>
    <row r="319" spans="1:13" ht="15" customHeight="1" x14ac:dyDescent="0.35">
      <c r="A319" s="43"/>
      <c r="B319" s="281"/>
      <c r="C319" s="221"/>
      <c r="D319" s="221"/>
      <c r="E319" s="221"/>
      <c r="F319" s="221"/>
      <c r="G319" s="292"/>
      <c r="H319" s="46"/>
      <c r="I319" s="267"/>
      <c r="J319" s="221"/>
      <c r="K319" s="266"/>
      <c r="L319" s="43"/>
      <c r="M319" s="43"/>
    </row>
    <row r="320" spans="1:13" ht="13.5" customHeight="1" x14ac:dyDescent="0.35">
      <c r="A320" s="43"/>
      <c r="B320" s="281"/>
      <c r="C320" s="221"/>
      <c r="D320" s="221"/>
      <c r="E320" s="221"/>
      <c r="F320" s="221"/>
      <c r="G320" s="292"/>
      <c r="H320" s="46"/>
      <c r="I320" s="267"/>
      <c r="J320" s="221"/>
      <c r="K320" s="266"/>
      <c r="L320" s="43"/>
      <c r="M320" s="43"/>
    </row>
    <row r="321" spans="1:13" ht="14.25" customHeight="1" x14ac:dyDescent="0.35">
      <c r="A321" s="43"/>
      <c r="B321" s="281"/>
      <c r="C321" s="221"/>
      <c r="D321" s="221"/>
      <c r="E321" s="221"/>
      <c r="F321" s="221"/>
      <c r="G321" s="292"/>
      <c r="H321" s="46"/>
      <c r="I321" s="267"/>
      <c r="J321" s="221"/>
      <c r="K321" s="266"/>
      <c r="L321" s="43"/>
      <c r="M321" s="43"/>
    </row>
    <row r="322" spans="1:13" ht="14.25" customHeight="1" x14ac:dyDescent="0.35">
      <c r="A322" s="43"/>
      <c r="B322" s="281"/>
      <c r="C322" s="221"/>
      <c r="D322" s="221"/>
      <c r="E322" s="221"/>
      <c r="F322" s="221"/>
      <c r="G322" s="292"/>
      <c r="H322" s="46"/>
      <c r="I322" s="267"/>
      <c r="J322" s="221"/>
      <c r="K322" s="266"/>
      <c r="L322" s="43"/>
      <c r="M322" s="43"/>
    </row>
    <row r="323" spans="1:13" ht="14.25" customHeight="1" x14ac:dyDescent="0.35">
      <c r="A323" s="43"/>
      <c r="B323" s="281"/>
      <c r="C323" s="261"/>
      <c r="D323" s="261"/>
      <c r="E323" s="261"/>
      <c r="F323" s="261"/>
      <c r="G323" s="289"/>
      <c r="H323" s="46"/>
      <c r="I323" s="268"/>
      <c r="J323" s="261"/>
      <c r="K323" s="262"/>
      <c r="L323" s="43"/>
      <c r="M323" s="43"/>
    </row>
    <row r="324" spans="1:13" ht="14.25" customHeight="1" x14ac:dyDescent="0.25">
      <c r="A324" s="43"/>
      <c r="B324" s="293" t="s">
        <v>33</v>
      </c>
      <c r="C324" s="279"/>
      <c r="D324" s="279"/>
      <c r="E324" s="279"/>
      <c r="F324" s="279"/>
      <c r="G324" s="279"/>
      <c r="H324" s="279"/>
      <c r="I324" s="279"/>
      <c r="J324" s="279"/>
      <c r="K324" s="280"/>
      <c r="L324" s="43"/>
      <c r="M324" s="43"/>
    </row>
    <row r="325" spans="1:13" ht="14.25" customHeight="1" x14ac:dyDescent="0.25">
      <c r="A325" s="43"/>
      <c r="B325" s="294"/>
      <c r="C325" s="295"/>
      <c r="D325" s="295"/>
      <c r="E325" s="295"/>
      <c r="F325" s="295"/>
      <c r="G325" s="295"/>
      <c r="H325" s="295"/>
      <c r="I325" s="295"/>
      <c r="J325" s="295"/>
      <c r="K325" s="296"/>
      <c r="L325" s="43"/>
      <c r="M325" s="43"/>
    </row>
    <row r="326" spans="1:13" ht="14.25" customHeight="1" x14ac:dyDescent="0.25">
      <c r="A326" s="43"/>
      <c r="B326" s="43"/>
      <c r="C326" s="43"/>
      <c r="D326" s="43"/>
      <c r="E326" s="43"/>
      <c r="F326" s="43"/>
      <c r="G326" s="43"/>
      <c r="H326" s="43"/>
      <c r="I326" s="43"/>
      <c r="J326" s="43"/>
      <c r="K326" s="43"/>
      <c r="L326" s="43"/>
      <c r="M326" s="43"/>
    </row>
    <row r="327" spans="1:13" ht="14.25" customHeight="1" x14ac:dyDescent="0.25">
      <c r="A327" s="43"/>
      <c r="B327" s="43"/>
      <c r="C327" s="43"/>
      <c r="D327" s="43"/>
      <c r="E327" s="43"/>
      <c r="F327" s="43"/>
      <c r="G327" s="43"/>
      <c r="H327" s="43"/>
      <c r="I327" s="43"/>
      <c r="J327" s="43"/>
      <c r="K327" s="43"/>
      <c r="L327" s="43"/>
      <c r="M327" s="43"/>
    </row>
    <row r="328" spans="1:13" ht="14.25" customHeight="1" x14ac:dyDescent="0.25">
      <c r="A328" s="43"/>
      <c r="B328" s="272"/>
      <c r="C328" s="273"/>
      <c r="D328" s="273"/>
      <c r="E328" s="273"/>
      <c r="F328" s="273"/>
      <c r="G328" s="273"/>
      <c r="H328" s="273"/>
      <c r="I328" s="273"/>
      <c r="J328" s="273"/>
      <c r="K328" s="274"/>
      <c r="L328" s="43"/>
      <c r="M328" s="43"/>
    </row>
    <row r="329" spans="1:13" ht="14.25" customHeight="1" x14ac:dyDescent="0.25">
      <c r="A329" s="43"/>
      <c r="B329" s="275"/>
      <c r="C329" s="276"/>
      <c r="D329" s="276"/>
      <c r="E329" s="276"/>
      <c r="F329" s="276"/>
      <c r="G329" s="276"/>
      <c r="H329" s="276"/>
      <c r="I329" s="276"/>
      <c r="J329" s="276"/>
      <c r="K329" s="277"/>
      <c r="L329" s="43"/>
      <c r="M329" s="43"/>
    </row>
    <row r="330" spans="1:13" ht="17.25" customHeight="1" x14ac:dyDescent="0.25">
      <c r="A330" s="43"/>
      <c r="B330" s="278" t="s">
        <v>27</v>
      </c>
      <c r="C330" s="279"/>
      <c r="D330" s="279"/>
      <c r="E330" s="279"/>
      <c r="F330" s="279"/>
      <c r="G330" s="279"/>
      <c r="H330" s="279"/>
      <c r="I330" s="279"/>
      <c r="J330" s="279"/>
      <c r="K330" s="280"/>
      <c r="L330" s="43"/>
      <c r="M330" s="43"/>
    </row>
    <row r="331" spans="1:13" ht="9" customHeight="1" x14ac:dyDescent="0.25">
      <c r="A331" s="43"/>
      <c r="B331" s="281"/>
      <c r="C331" s="221"/>
      <c r="D331" s="221"/>
      <c r="E331" s="221"/>
      <c r="F331" s="221"/>
      <c r="G331" s="221"/>
      <c r="H331" s="221"/>
      <c r="I331" s="221"/>
      <c r="J331" s="221"/>
      <c r="K331" s="266"/>
      <c r="L331" s="43"/>
      <c r="M331" s="43"/>
    </row>
    <row r="332" spans="1:13" ht="1.5" customHeight="1" x14ac:dyDescent="0.25">
      <c r="A332" s="43"/>
      <c r="B332" s="275"/>
      <c r="C332" s="276"/>
      <c r="D332" s="276"/>
      <c r="E332" s="276"/>
      <c r="F332" s="276"/>
      <c r="G332" s="276"/>
      <c r="H332" s="276"/>
      <c r="I332" s="276"/>
      <c r="J332" s="276"/>
      <c r="K332" s="277"/>
      <c r="L332" s="43"/>
      <c r="M332" s="43"/>
    </row>
    <row r="333" spans="1:13" ht="14.25" customHeight="1" x14ac:dyDescent="0.25">
      <c r="A333" s="43"/>
      <c r="B333" s="44"/>
      <c r="K333" s="45"/>
      <c r="L333" s="43"/>
      <c r="M333" s="43"/>
    </row>
    <row r="334" spans="1:13" ht="21" customHeight="1" x14ac:dyDescent="0.4">
      <c r="A334" s="43"/>
      <c r="B334" s="282" t="s">
        <v>0</v>
      </c>
      <c r="C334" s="221"/>
      <c r="D334" s="283">
        <f>'CONF '!$B$3</f>
        <v>0</v>
      </c>
      <c r="E334" s="221"/>
      <c r="F334" s="221"/>
      <c r="G334" s="221"/>
      <c r="H334" s="221"/>
      <c r="I334" s="221"/>
      <c r="J334" s="46"/>
      <c r="K334" s="47"/>
      <c r="L334" s="43"/>
      <c r="M334" s="43"/>
    </row>
    <row r="335" spans="1:13" ht="6.75" customHeight="1" x14ac:dyDescent="0.35">
      <c r="A335" s="43"/>
      <c r="B335" s="48"/>
      <c r="C335" s="46"/>
      <c r="D335" s="46"/>
      <c r="E335" s="46"/>
      <c r="F335" s="46"/>
      <c r="G335" s="46"/>
      <c r="H335" s="46"/>
      <c r="I335" s="46"/>
      <c r="J335" s="46"/>
      <c r="K335" s="47"/>
      <c r="L335" s="43"/>
      <c r="M335" s="43"/>
    </row>
    <row r="336" spans="1:13" ht="19.5" customHeight="1" x14ac:dyDescent="0.35">
      <c r="A336" s="43"/>
      <c r="B336" s="284">
        <f>+'CONF '!$D$2</f>
        <v>2</v>
      </c>
      <c r="C336" s="221"/>
      <c r="D336" s="221"/>
      <c r="E336" s="46"/>
      <c r="F336" s="46"/>
      <c r="G336" s="46"/>
      <c r="H336" s="46"/>
      <c r="I336" s="46"/>
      <c r="J336" s="46"/>
      <c r="K336" s="47"/>
      <c r="L336" s="43"/>
      <c r="M336" s="43"/>
    </row>
    <row r="337" spans="1:13" ht="6.75" customHeight="1" x14ac:dyDescent="0.35">
      <c r="A337" s="43"/>
      <c r="B337" s="44"/>
      <c r="C337" s="46"/>
      <c r="D337" s="46"/>
      <c r="E337" s="46"/>
      <c r="F337" s="46"/>
      <c r="G337" s="46"/>
      <c r="H337" s="46"/>
      <c r="I337" s="46"/>
      <c r="J337" s="46"/>
      <c r="K337" s="47"/>
      <c r="L337" s="43"/>
      <c r="M337" s="43"/>
    </row>
    <row r="338" spans="1:13" ht="15.75" customHeight="1" x14ac:dyDescent="0.35">
      <c r="A338" s="43"/>
      <c r="B338" s="49" t="s">
        <v>28</v>
      </c>
      <c r="C338" s="50">
        <f>+'CONF '!A18</f>
        <v>45619</v>
      </c>
      <c r="D338" s="51"/>
      <c r="E338" s="46"/>
      <c r="F338" s="52" t="s">
        <v>29</v>
      </c>
      <c r="G338" s="53">
        <f>+VLOOKUP(C340,'TARIFAS '!$A$3:$O$239,10,FALSE)</f>
        <v>0</v>
      </c>
      <c r="H338" s="46"/>
      <c r="I338" s="46"/>
      <c r="J338" s="46"/>
      <c r="K338" s="47"/>
      <c r="L338" s="43"/>
      <c r="M338" s="43"/>
    </row>
    <row r="339" spans="1:13" ht="12" customHeight="1" x14ac:dyDescent="0.35">
      <c r="A339" s="43"/>
      <c r="B339" s="54"/>
      <c r="C339" s="55"/>
      <c r="D339" s="56"/>
      <c r="E339" s="46"/>
      <c r="F339" s="57"/>
      <c r="G339" s="56"/>
      <c r="H339" s="46"/>
      <c r="I339" s="46"/>
      <c r="J339" s="46"/>
      <c r="K339" s="47"/>
      <c r="L339" s="43"/>
      <c r="M339" s="43"/>
    </row>
    <row r="340" spans="1:13" ht="14.25" customHeight="1" x14ac:dyDescent="0.35">
      <c r="A340" s="43"/>
      <c r="B340" s="285" t="s">
        <v>30</v>
      </c>
      <c r="C340" s="287" t="str">
        <f>+'CONF '!B18</f>
        <v>City Tour + Catedral de Sal Privativo</v>
      </c>
      <c r="D340" s="264"/>
      <c r="E340" s="264"/>
      <c r="F340" s="264"/>
      <c r="G340" s="288"/>
      <c r="H340" s="58"/>
      <c r="I340" s="290" t="s">
        <v>31</v>
      </c>
      <c r="J340" s="259">
        <f>+'CONF '!D58</f>
        <v>2360000</v>
      </c>
      <c r="K340" s="260"/>
      <c r="L340" s="43"/>
      <c r="M340" s="43"/>
    </row>
    <row r="341" spans="1:13" ht="14.25" customHeight="1" x14ac:dyDescent="0.35">
      <c r="A341" s="43"/>
      <c r="B341" s="286"/>
      <c r="C341" s="261"/>
      <c r="D341" s="261"/>
      <c r="E341" s="261"/>
      <c r="F341" s="261"/>
      <c r="G341" s="289"/>
      <c r="H341" s="46"/>
      <c r="I341" s="268"/>
      <c r="J341" s="261"/>
      <c r="K341" s="262"/>
      <c r="L341" s="43"/>
      <c r="M341" s="43"/>
    </row>
    <row r="342" spans="1:13" ht="15" customHeight="1" x14ac:dyDescent="0.35">
      <c r="A342" s="43"/>
      <c r="B342" s="285" t="s">
        <v>32</v>
      </c>
      <c r="C342" s="298">
        <f>+VLOOKUP(C340,'TARIFAS '!$A$3:$N$239,7,FALSE)</f>
        <v>0</v>
      </c>
      <c r="D342" s="264"/>
      <c r="E342" s="264"/>
      <c r="F342" s="264"/>
      <c r="G342" s="288"/>
      <c r="H342" s="58"/>
      <c r="I342" s="263">
        <f>+VLOOKUP(C340,'TARIFAS '!$A$3:$O$239,8,FALSE)*B336</f>
        <v>0</v>
      </c>
      <c r="J342" s="264"/>
      <c r="K342" s="260"/>
      <c r="L342" s="43"/>
      <c r="M342" s="43"/>
    </row>
    <row r="343" spans="1:13" ht="15" customHeight="1" x14ac:dyDescent="0.35">
      <c r="A343" s="43"/>
      <c r="B343" s="281"/>
      <c r="C343" s="221"/>
      <c r="D343" s="221"/>
      <c r="E343" s="221"/>
      <c r="F343" s="221"/>
      <c r="G343" s="292"/>
      <c r="H343" s="46"/>
      <c r="I343" s="265">
        <f>+VLOOKUP(C340,'TARIFAS '!$A$3:$O$239,9,FALSE)</f>
        <v>0</v>
      </c>
      <c r="J343" s="221"/>
      <c r="K343" s="266"/>
      <c r="L343" s="43"/>
      <c r="M343" s="43"/>
    </row>
    <row r="344" spans="1:13" ht="15" customHeight="1" x14ac:dyDescent="0.35">
      <c r="A344" s="43"/>
      <c r="B344" s="281"/>
      <c r="C344" s="221"/>
      <c r="D344" s="221"/>
      <c r="E344" s="221"/>
      <c r="F344" s="221"/>
      <c r="G344" s="292"/>
      <c r="H344" s="46"/>
      <c r="I344" s="267"/>
      <c r="J344" s="221"/>
      <c r="K344" s="266"/>
      <c r="L344" s="43"/>
      <c r="M344" s="43"/>
    </row>
    <row r="345" spans="1:13" ht="13.5" customHeight="1" x14ac:dyDescent="0.35">
      <c r="A345" s="43"/>
      <c r="B345" s="281"/>
      <c r="C345" s="221"/>
      <c r="D345" s="221"/>
      <c r="E345" s="221"/>
      <c r="F345" s="221"/>
      <c r="G345" s="292"/>
      <c r="H345" s="46"/>
      <c r="I345" s="267"/>
      <c r="J345" s="221"/>
      <c r="K345" s="266"/>
      <c r="L345" s="43"/>
      <c r="M345" s="43"/>
    </row>
    <row r="346" spans="1:13" ht="14.25" customHeight="1" x14ac:dyDescent="0.35">
      <c r="A346" s="43"/>
      <c r="B346" s="281"/>
      <c r="C346" s="221"/>
      <c r="D346" s="221"/>
      <c r="E346" s="221"/>
      <c r="F346" s="221"/>
      <c r="G346" s="292"/>
      <c r="H346" s="46"/>
      <c r="I346" s="267"/>
      <c r="J346" s="221"/>
      <c r="K346" s="266"/>
      <c r="L346" s="43"/>
      <c r="M346" s="43"/>
    </row>
    <row r="347" spans="1:13" ht="14.25" customHeight="1" x14ac:dyDescent="0.35">
      <c r="A347" s="43"/>
      <c r="B347" s="281"/>
      <c r="C347" s="221"/>
      <c r="D347" s="221"/>
      <c r="E347" s="221"/>
      <c r="F347" s="221"/>
      <c r="G347" s="292"/>
      <c r="H347" s="46"/>
      <c r="I347" s="267"/>
      <c r="J347" s="221"/>
      <c r="K347" s="266"/>
      <c r="L347" s="43"/>
      <c r="M347" s="43"/>
    </row>
    <row r="348" spans="1:13" ht="14.25" customHeight="1" x14ac:dyDescent="0.35">
      <c r="A348" s="43"/>
      <c r="B348" s="281"/>
      <c r="C348" s="261"/>
      <c r="D348" s="261"/>
      <c r="E348" s="261"/>
      <c r="F348" s="261"/>
      <c r="G348" s="289"/>
      <c r="H348" s="46"/>
      <c r="I348" s="268"/>
      <c r="J348" s="261"/>
      <c r="K348" s="262"/>
      <c r="L348" s="43"/>
      <c r="M348" s="43"/>
    </row>
    <row r="349" spans="1:13" ht="14.25" customHeight="1" x14ac:dyDescent="0.25">
      <c r="A349" s="43"/>
      <c r="B349" s="293" t="s">
        <v>33</v>
      </c>
      <c r="C349" s="279"/>
      <c r="D349" s="279"/>
      <c r="E349" s="279"/>
      <c r="F349" s="279"/>
      <c r="G349" s="279"/>
      <c r="H349" s="279"/>
      <c r="I349" s="279"/>
      <c r="J349" s="279"/>
      <c r="K349" s="280"/>
      <c r="L349" s="43"/>
      <c r="M349" s="43"/>
    </row>
    <row r="350" spans="1:13" ht="14.25" customHeight="1" x14ac:dyDescent="0.25">
      <c r="A350" s="43"/>
      <c r="B350" s="294"/>
      <c r="C350" s="295"/>
      <c r="D350" s="295"/>
      <c r="E350" s="295"/>
      <c r="F350" s="295"/>
      <c r="G350" s="295"/>
      <c r="H350" s="295"/>
      <c r="I350" s="295"/>
      <c r="J350" s="295"/>
      <c r="K350" s="296"/>
      <c r="L350" s="43"/>
      <c r="M350" s="43"/>
    </row>
    <row r="351" spans="1:13" ht="14.25" customHeight="1" x14ac:dyDescent="0.25">
      <c r="A351" s="43"/>
      <c r="B351" s="43"/>
      <c r="C351" s="43"/>
      <c r="D351" s="43"/>
      <c r="E351" s="43"/>
      <c r="F351" s="43"/>
      <c r="G351" s="43"/>
      <c r="H351" s="43"/>
      <c r="I351" s="43"/>
      <c r="J351" s="43"/>
      <c r="K351" s="43"/>
      <c r="L351" s="43"/>
      <c r="M351" s="43"/>
    </row>
    <row r="352" spans="1:13" ht="14.25" customHeight="1" x14ac:dyDescent="0.25">
      <c r="A352" s="43"/>
      <c r="B352" s="43"/>
      <c r="C352" s="43"/>
      <c r="D352" s="43"/>
      <c r="E352" s="43"/>
      <c r="F352" s="43"/>
      <c r="G352" s="43"/>
      <c r="H352" s="43"/>
      <c r="I352" s="43"/>
      <c r="J352" s="43"/>
      <c r="K352" s="43"/>
      <c r="L352" s="43"/>
      <c r="M352" s="43"/>
    </row>
    <row r="353" spans="1:13" ht="14.25" customHeight="1" x14ac:dyDescent="0.25">
      <c r="A353" s="43"/>
      <c r="B353" s="272"/>
      <c r="C353" s="273"/>
      <c r="D353" s="273"/>
      <c r="E353" s="273"/>
      <c r="F353" s="273"/>
      <c r="G353" s="273"/>
      <c r="H353" s="273"/>
      <c r="I353" s="273"/>
      <c r="J353" s="273"/>
      <c r="K353" s="274"/>
      <c r="L353" s="43"/>
      <c r="M353" s="43"/>
    </row>
    <row r="354" spans="1:13" ht="14.25" customHeight="1" x14ac:dyDescent="0.25">
      <c r="A354" s="43"/>
      <c r="B354" s="275"/>
      <c r="C354" s="276"/>
      <c r="D354" s="276"/>
      <c r="E354" s="276"/>
      <c r="F354" s="276"/>
      <c r="G354" s="276"/>
      <c r="H354" s="276"/>
      <c r="I354" s="276"/>
      <c r="J354" s="276"/>
      <c r="K354" s="277"/>
      <c r="L354" s="43"/>
      <c r="M354" s="43"/>
    </row>
    <row r="355" spans="1:13" ht="17.25" customHeight="1" x14ac:dyDescent="0.25">
      <c r="A355" s="43"/>
      <c r="B355" s="278" t="s">
        <v>27</v>
      </c>
      <c r="C355" s="279"/>
      <c r="D355" s="279"/>
      <c r="E355" s="279"/>
      <c r="F355" s="279"/>
      <c r="G355" s="279"/>
      <c r="H355" s="279"/>
      <c r="I355" s="279"/>
      <c r="J355" s="279"/>
      <c r="K355" s="280"/>
      <c r="L355" s="43"/>
      <c r="M355" s="43"/>
    </row>
    <row r="356" spans="1:13" ht="9" customHeight="1" x14ac:dyDescent="0.25">
      <c r="A356" s="43"/>
      <c r="B356" s="281"/>
      <c r="C356" s="221"/>
      <c r="D356" s="221"/>
      <c r="E356" s="221"/>
      <c r="F356" s="221"/>
      <c r="G356" s="221"/>
      <c r="H356" s="221"/>
      <c r="I356" s="221"/>
      <c r="J356" s="221"/>
      <c r="K356" s="266"/>
      <c r="L356" s="43"/>
      <c r="M356" s="43"/>
    </row>
    <row r="357" spans="1:13" ht="1.5" customHeight="1" x14ac:dyDescent="0.25">
      <c r="A357" s="43"/>
      <c r="B357" s="275"/>
      <c r="C357" s="276"/>
      <c r="D357" s="276"/>
      <c r="E357" s="276"/>
      <c r="F357" s="276"/>
      <c r="G357" s="276"/>
      <c r="H357" s="276"/>
      <c r="I357" s="276"/>
      <c r="J357" s="276"/>
      <c r="K357" s="277"/>
      <c r="L357" s="43"/>
      <c r="M357" s="43"/>
    </row>
    <row r="358" spans="1:13" ht="14.25" customHeight="1" x14ac:dyDescent="0.25">
      <c r="A358" s="43"/>
      <c r="B358" s="44"/>
      <c r="K358" s="45"/>
      <c r="L358" s="43"/>
      <c r="M358" s="43"/>
    </row>
    <row r="359" spans="1:13" ht="21" customHeight="1" x14ac:dyDescent="0.4">
      <c r="A359" s="43"/>
      <c r="B359" s="282" t="s">
        <v>0</v>
      </c>
      <c r="C359" s="221"/>
      <c r="D359" s="283">
        <f>'CONF '!$B$3</f>
        <v>0</v>
      </c>
      <c r="E359" s="221"/>
      <c r="F359" s="221"/>
      <c r="G359" s="221"/>
      <c r="H359" s="221"/>
      <c r="I359" s="221"/>
      <c r="J359" s="46"/>
      <c r="K359" s="47"/>
      <c r="L359" s="43"/>
      <c r="M359" s="43"/>
    </row>
    <row r="360" spans="1:13" ht="6.75" customHeight="1" x14ac:dyDescent="0.35">
      <c r="A360" s="43"/>
      <c r="B360" s="48"/>
      <c r="C360" s="46"/>
      <c r="D360" s="46"/>
      <c r="E360" s="46"/>
      <c r="F360" s="46"/>
      <c r="G360" s="46"/>
      <c r="H360" s="46"/>
      <c r="I360" s="46"/>
      <c r="J360" s="46"/>
      <c r="K360" s="47"/>
      <c r="L360" s="43"/>
      <c r="M360" s="43"/>
    </row>
    <row r="361" spans="1:13" ht="19.5" customHeight="1" x14ac:dyDescent="0.35">
      <c r="A361" s="43"/>
      <c r="B361" s="284">
        <f>+'CONF '!$D$2</f>
        <v>2</v>
      </c>
      <c r="C361" s="221"/>
      <c r="D361" s="221"/>
      <c r="E361" s="46"/>
      <c r="F361" s="46"/>
      <c r="G361" s="46"/>
      <c r="H361" s="46"/>
      <c r="I361" s="46"/>
      <c r="J361" s="46"/>
      <c r="K361" s="47"/>
      <c r="L361" s="43"/>
      <c r="M361" s="43"/>
    </row>
    <row r="362" spans="1:13" ht="6.75" customHeight="1" x14ac:dyDescent="0.35">
      <c r="A362" s="43"/>
      <c r="B362" s="44"/>
      <c r="C362" s="46"/>
      <c r="D362" s="46"/>
      <c r="E362" s="46"/>
      <c r="F362" s="46"/>
      <c r="G362" s="46"/>
      <c r="H362" s="46"/>
      <c r="I362" s="46"/>
      <c r="J362" s="46"/>
      <c r="K362" s="47"/>
      <c r="L362" s="43"/>
      <c r="M362" s="43"/>
    </row>
    <row r="363" spans="1:13" ht="15.75" customHeight="1" x14ac:dyDescent="0.35">
      <c r="A363" s="43"/>
      <c r="B363" s="49" t="s">
        <v>28</v>
      </c>
      <c r="C363" s="50">
        <f>+'CONF '!A19</f>
        <v>45620</v>
      </c>
      <c r="D363" s="51"/>
      <c r="E363" s="46"/>
      <c r="F363" s="52" t="s">
        <v>29</v>
      </c>
      <c r="G363" s="53">
        <f>+VLOOKUP(C365,'TARIFAS '!$A$3:$O$239,10,FALSE)</f>
        <v>0</v>
      </c>
      <c r="H363" s="46"/>
      <c r="I363" s="46"/>
      <c r="J363" s="46"/>
      <c r="K363" s="47"/>
      <c r="L363" s="43"/>
      <c r="M363" s="43"/>
    </row>
    <row r="364" spans="1:13" ht="12" customHeight="1" x14ac:dyDescent="0.35">
      <c r="A364" s="43"/>
      <c r="B364" s="54"/>
      <c r="C364" s="55"/>
      <c r="D364" s="56"/>
      <c r="E364" s="46"/>
      <c r="F364" s="57"/>
      <c r="G364" s="56"/>
      <c r="H364" s="46"/>
      <c r="I364" s="46"/>
      <c r="J364" s="46"/>
      <c r="K364" s="47"/>
      <c r="L364" s="43"/>
      <c r="M364" s="43"/>
    </row>
    <row r="365" spans="1:13" ht="14.25" customHeight="1" x14ac:dyDescent="0.35">
      <c r="A365" s="43"/>
      <c r="B365" s="285" t="s">
        <v>30</v>
      </c>
      <c r="C365" s="287" t="str">
        <f>+'CONF '!B19</f>
        <v>Tour en lancha privativa JOE 2024</v>
      </c>
      <c r="D365" s="264"/>
      <c r="E365" s="264"/>
      <c r="F365" s="264"/>
      <c r="G365" s="288"/>
      <c r="H365" s="58"/>
      <c r="I365" s="290" t="s">
        <v>31</v>
      </c>
      <c r="J365" s="259">
        <f>+'CONF '!D59</f>
        <v>2700000</v>
      </c>
      <c r="K365" s="260"/>
      <c r="L365" s="43"/>
      <c r="M365" s="43"/>
    </row>
    <row r="366" spans="1:13" ht="14.25" customHeight="1" x14ac:dyDescent="0.35">
      <c r="A366" s="43"/>
      <c r="B366" s="286"/>
      <c r="C366" s="261"/>
      <c r="D366" s="261"/>
      <c r="E366" s="261"/>
      <c r="F366" s="261"/>
      <c r="G366" s="289"/>
      <c r="H366" s="46"/>
      <c r="I366" s="268"/>
      <c r="J366" s="261"/>
      <c r="K366" s="262"/>
      <c r="L366" s="43"/>
      <c r="M366" s="43"/>
    </row>
    <row r="367" spans="1:13" ht="15" customHeight="1" x14ac:dyDescent="0.35">
      <c r="A367" s="43"/>
      <c r="B367" s="285" t="s">
        <v>32</v>
      </c>
      <c r="C367" s="297">
        <f>+VLOOKUP(C365,'TARIFAS '!$A$3:$N$239,7,FALSE)</f>
        <v>0</v>
      </c>
      <c r="D367" s="264"/>
      <c r="E367" s="264"/>
      <c r="F367" s="264"/>
      <c r="G367" s="288"/>
      <c r="H367" s="58"/>
      <c r="I367" s="263">
        <f>+VLOOKUP(C365,'TARIFAS '!$A$3:$O$239,8,FALSE)*B361</f>
        <v>0</v>
      </c>
      <c r="J367" s="264"/>
      <c r="K367" s="260"/>
      <c r="L367" s="43"/>
      <c r="M367" s="43"/>
    </row>
    <row r="368" spans="1:13" ht="15" customHeight="1" x14ac:dyDescent="0.35">
      <c r="A368" s="43"/>
      <c r="B368" s="281"/>
      <c r="C368" s="221"/>
      <c r="D368" s="221"/>
      <c r="E368" s="221"/>
      <c r="F368" s="221"/>
      <c r="G368" s="292"/>
      <c r="H368" s="46"/>
      <c r="I368" s="265">
        <f>+VLOOKUP(C365,'TARIFAS '!$A$3:$O$239,9,FALSE)</f>
        <v>0</v>
      </c>
      <c r="J368" s="221"/>
      <c r="K368" s="266"/>
      <c r="L368" s="43"/>
      <c r="M368" s="43"/>
    </row>
    <row r="369" spans="1:13" ht="15" customHeight="1" x14ac:dyDescent="0.35">
      <c r="A369" s="43"/>
      <c r="B369" s="281"/>
      <c r="C369" s="221"/>
      <c r="D369" s="221"/>
      <c r="E369" s="221"/>
      <c r="F369" s="221"/>
      <c r="G369" s="292"/>
      <c r="H369" s="46"/>
      <c r="I369" s="267"/>
      <c r="J369" s="221"/>
      <c r="K369" s="266"/>
      <c r="L369" s="43"/>
      <c r="M369" s="43"/>
    </row>
    <row r="370" spans="1:13" ht="13.5" customHeight="1" x14ac:dyDescent="0.35">
      <c r="A370" s="43"/>
      <c r="B370" s="281"/>
      <c r="C370" s="221"/>
      <c r="D370" s="221"/>
      <c r="E370" s="221"/>
      <c r="F370" s="221"/>
      <c r="G370" s="292"/>
      <c r="H370" s="46"/>
      <c r="I370" s="267"/>
      <c r="J370" s="221"/>
      <c r="K370" s="266"/>
      <c r="L370" s="43"/>
      <c r="M370" s="43"/>
    </row>
    <row r="371" spans="1:13" ht="14.25" customHeight="1" x14ac:dyDescent="0.35">
      <c r="A371" s="43"/>
      <c r="B371" s="281"/>
      <c r="C371" s="221"/>
      <c r="D371" s="221"/>
      <c r="E371" s="221"/>
      <c r="F371" s="221"/>
      <c r="G371" s="292"/>
      <c r="H371" s="46"/>
      <c r="I371" s="267"/>
      <c r="J371" s="221"/>
      <c r="K371" s="266"/>
      <c r="L371" s="43"/>
      <c r="M371" s="43"/>
    </row>
    <row r="372" spans="1:13" ht="14.25" customHeight="1" x14ac:dyDescent="0.35">
      <c r="A372" s="43"/>
      <c r="B372" s="281"/>
      <c r="C372" s="221"/>
      <c r="D372" s="221"/>
      <c r="E372" s="221"/>
      <c r="F372" s="221"/>
      <c r="G372" s="292"/>
      <c r="H372" s="46"/>
      <c r="I372" s="267"/>
      <c r="J372" s="221"/>
      <c r="K372" s="266"/>
      <c r="L372" s="43"/>
      <c r="M372" s="43"/>
    </row>
    <row r="373" spans="1:13" ht="14.25" customHeight="1" x14ac:dyDescent="0.35">
      <c r="A373" s="43"/>
      <c r="B373" s="281"/>
      <c r="C373" s="261"/>
      <c r="D373" s="261"/>
      <c r="E373" s="261"/>
      <c r="F373" s="261"/>
      <c r="G373" s="289"/>
      <c r="H373" s="46"/>
      <c r="I373" s="268"/>
      <c r="J373" s="261"/>
      <c r="K373" s="262"/>
      <c r="L373" s="43"/>
      <c r="M373" s="43"/>
    </row>
    <row r="374" spans="1:13" ht="14.25" customHeight="1" x14ac:dyDescent="0.25">
      <c r="A374" s="43"/>
      <c r="B374" s="293" t="s">
        <v>33</v>
      </c>
      <c r="C374" s="279"/>
      <c r="D374" s="279"/>
      <c r="E374" s="279"/>
      <c r="F374" s="279"/>
      <c r="G374" s="279"/>
      <c r="H374" s="279"/>
      <c r="I374" s="279"/>
      <c r="J374" s="279"/>
      <c r="K374" s="280"/>
      <c r="L374" s="43"/>
      <c r="M374" s="43"/>
    </row>
    <row r="375" spans="1:13" ht="14.25" customHeight="1" x14ac:dyDescent="0.25">
      <c r="A375" s="43"/>
      <c r="B375" s="294"/>
      <c r="C375" s="295"/>
      <c r="D375" s="295"/>
      <c r="E375" s="295"/>
      <c r="F375" s="295"/>
      <c r="G375" s="295"/>
      <c r="H375" s="295"/>
      <c r="I375" s="295"/>
      <c r="J375" s="295"/>
      <c r="K375" s="296"/>
      <c r="L375" s="43"/>
      <c r="M375" s="43"/>
    </row>
    <row r="376" spans="1:13" ht="14.25" customHeight="1" x14ac:dyDescent="0.25">
      <c r="A376" s="43"/>
      <c r="B376" s="43"/>
      <c r="C376" s="43"/>
      <c r="D376" s="43"/>
      <c r="E376" s="43"/>
      <c r="F376" s="43"/>
      <c r="G376" s="43"/>
      <c r="H376" s="43"/>
      <c r="I376" s="43"/>
      <c r="J376" s="43"/>
      <c r="K376" s="43"/>
      <c r="L376" s="43"/>
      <c r="M376" s="43"/>
    </row>
    <row r="377" spans="1:13" ht="14.25" customHeight="1" x14ac:dyDescent="0.25">
      <c r="A377" s="43"/>
      <c r="B377" s="43"/>
      <c r="C377" s="43"/>
      <c r="D377" s="43"/>
      <c r="E377" s="43"/>
      <c r="F377" s="43"/>
      <c r="G377" s="43"/>
      <c r="H377" s="43"/>
      <c r="I377" s="43"/>
      <c r="J377" s="43"/>
      <c r="K377" s="43"/>
      <c r="L377" s="43"/>
      <c r="M377" s="43"/>
    </row>
    <row r="378" spans="1:13" ht="14.25" customHeight="1" x14ac:dyDescent="0.25">
      <c r="A378" s="43"/>
      <c r="B378" s="272"/>
      <c r="C378" s="273"/>
      <c r="D378" s="273"/>
      <c r="E378" s="273"/>
      <c r="F378" s="273"/>
      <c r="G378" s="273"/>
      <c r="H378" s="273"/>
      <c r="I378" s="273"/>
      <c r="J378" s="273"/>
      <c r="K378" s="274"/>
      <c r="L378" s="43"/>
      <c r="M378" s="43"/>
    </row>
    <row r="379" spans="1:13" ht="14.25" customHeight="1" x14ac:dyDescent="0.25">
      <c r="A379" s="43"/>
      <c r="B379" s="275"/>
      <c r="C379" s="276"/>
      <c r="D379" s="276"/>
      <c r="E379" s="276"/>
      <c r="F379" s="276"/>
      <c r="G379" s="276"/>
      <c r="H379" s="276"/>
      <c r="I379" s="276"/>
      <c r="J379" s="276"/>
      <c r="K379" s="277"/>
      <c r="L379" s="43"/>
      <c r="M379" s="43"/>
    </row>
    <row r="380" spans="1:13" ht="17.25" customHeight="1" x14ac:dyDescent="0.25">
      <c r="A380" s="43"/>
      <c r="B380" s="278" t="s">
        <v>27</v>
      </c>
      <c r="C380" s="279"/>
      <c r="D380" s="279"/>
      <c r="E380" s="279"/>
      <c r="F380" s="279"/>
      <c r="G380" s="279"/>
      <c r="H380" s="279"/>
      <c r="I380" s="279"/>
      <c r="J380" s="279"/>
      <c r="K380" s="280"/>
      <c r="L380" s="43"/>
      <c r="M380" s="43"/>
    </row>
    <row r="381" spans="1:13" ht="9" customHeight="1" x14ac:dyDescent="0.25">
      <c r="A381" s="43"/>
      <c r="B381" s="281"/>
      <c r="C381" s="221"/>
      <c r="D381" s="221"/>
      <c r="E381" s="221"/>
      <c r="F381" s="221"/>
      <c r="G381" s="221"/>
      <c r="H381" s="221"/>
      <c r="I381" s="221"/>
      <c r="J381" s="221"/>
      <c r="K381" s="266"/>
      <c r="L381" s="43"/>
      <c r="M381" s="43"/>
    </row>
    <row r="382" spans="1:13" ht="1.5" customHeight="1" x14ac:dyDescent="0.25">
      <c r="A382" s="43"/>
      <c r="B382" s="275"/>
      <c r="C382" s="276"/>
      <c r="D382" s="276"/>
      <c r="E382" s="276"/>
      <c r="F382" s="276"/>
      <c r="G382" s="276"/>
      <c r="H382" s="276"/>
      <c r="I382" s="276"/>
      <c r="J382" s="276"/>
      <c r="K382" s="277"/>
      <c r="L382" s="43"/>
      <c r="M382" s="43"/>
    </row>
    <row r="383" spans="1:13" ht="14.25" customHeight="1" x14ac:dyDescent="0.25">
      <c r="A383" s="43"/>
      <c r="B383" s="44"/>
      <c r="K383" s="45"/>
      <c r="L383" s="43"/>
      <c r="M383" s="43"/>
    </row>
    <row r="384" spans="1:13" ht="21" customHeight="1" x14ac:dyDescent="0.4">
      <c r="A384" s="43"/>
      <c r="B384" s="282" t="s">
        <v>0</v>
      </c>
      <c r="C384" s="221"/>
      <c r="D384" s="283">
        <f>'CONF '!$B$3</f>
        <v>0</v>
      </c>
      <c r="E384" s="221"/>
      <c r="F384" s="221"/>
      <c r="G384" s="221"/>
      <c r="H384" s="221"/>
      <c r="I384" s="221"/>
      <c r="J384" s="46"/>
      <c r="K384" s="47"/>
      <c r="L384" s="43"/>
      <c r="M384" s="43"/>
    </row>
    <row r="385" spans="1:13" ht="6.75" customHeight="1" x14ac:dyDescent="0.35">
      <c r="A385" s="43"/>
      <c r="B385" s="48"/>
      <c r="C385" s="46"/>
      <c r="D385" s="46"/>
      <c r="E385" s="46"/>
      <c r="F385" s="46"/>
      <c r="G385" s="46"/>
      <c r="H385" s="46"/>
      <c r="I385" s="46"/>
      <c r="J385" s="46"/>
      <c r="K385" s="47"/>
      <c r="L385" s="43"/>
      <c r="M385" s="43"/>
    </row>
    <row r="386" spans="1:13" ht="19.5" customHeight="1" x14ac:dyDescent="0.35">
      <c r="A386" s="43"/>
      <c r="B386" s="284">
        <f>+'CONF '!$D$2</f>
        <v>2</v>
      </c>
      <c r="C386" s="221"/>
      <c r="D386" s="221"/>
      <c r="E386" s="46"/>
      <c r="F386" s="46"/>
      <c r="G386" s="46"/>
      <c r="H386" s="46"/>
      <c r="I386" s="46"/>
      <c r="J386" s="46"/>
      <c r="K386" s="47"/>
      <c r="L386" s="43"/>
      <c r="M386" s="43"/>
    </row>
    <row r="387" spans="1:13" ht="6.75" customHeight="1" x14ac:dyDescent="0.35">
      <c r="A387" s="43"/>
      <c r="B387" s="44"/>
      <c r="C387" s="46"/>
      <c r="D387" s="46"/>
      <c r="E387" s="46"/>
      <c r="F387" s="46"/>
      <c r="G387" s="46"/>
      <c r="H387" s="46"/>
      <c r="I387" s="46"/>
      <c r="J387" s="46"/>
      <c r="K387" s="47"/>
      <c r="L387" s="43"/>
      <c r="M387" s="43"/>
    </row>
    <row r="388" spans="1:13" ht="15.75" customHeight="1" x14ac:dyDescent="0.35">
      <c r="A388" s="43"/>
      <c r="B388" s="49" t="s">
        <v>28</v>
      </c>
      <c r="C388" s="50">
        <f>+'CONF '!A20</f>
        <v>45621</v>
      </c>
      <c r="D388" s="51"/>
      <c r="E388" s="46"/>
      <c r="F388" s="52" t="s">
        <v>29</v>
      </c>
      <c r="G388" s="53" t="str">
        <f>+VLOOKUP(C390,'TARIFAS '!$A$3:$O$239,10,FALSE)</f>
        <v>07:30</v>
      </c>
      <c r="H388" s="46"/>
      <c r="I388" s="46"/>
      <c r="J388" s="46"/>
      <c r="K388" s="47"/>
      <c r="L388" s="43"/>
      <c r="M388" s="43"/>
    </row>
    <row r="389" spans="1:13" ht="12" customHeight="1" x14ac:dyDescent="0.35">
      <c r="A389" s="43"/>
      <c r="B389" s="54"/>
      <c r="C389" s="55"/>
      <c r="D389" s="56"/>
      <c r="E389" s="46"/>
      <c r="F389" s="57"/>
      <c r="G389" s="56"/>
      <c r="H389" s="46"/>
      <c r="I389" s="46"/>
      <c r="J389" s="46"/>
      <c r="K389" s="47"/>
      <c r="L389" s="43"/>
      <c r="M389" s="43"/>
    </row>
    <row r="390" spans="1:13" ht="14.25" customHeight="1" x14ac:dyDescent="0.35">
      <c r="A390" s="43"/>
      <c r="B390" s="285" t="s">
        <v>30</v>
      </c>
      <c r="C390" s="287" t="str">
        <f>+'CONF '!B20</f>
        <v>PAU´E</v>
      </c>
      <c r="D390" s="264"/>
      <c r="E390" s="264"/>
      <c r="F390" s="264"/>
      <c r="G390" s="288"/>
      <c r="H390" s="58"/>
      <c r="I390" s="290" t="s">
        <v>31</v>
      </c>
      <c r="J390" s="259">
        <f>+'CONF '!D60</f>
        <v>700000</v>
      </c>
      <c r="K390" s="260"/>
      <c r="L390" s="43"/>
      <c r="M390" s="43"/>
    </row>
    <row r="391" spans="1:13" ht="14.25" customHeight="1" x14ac:dyDescent="0.35">
      <c r="A391" s="43"/>
      <c r="B391" s="286"/>
      <c r="C391" s="261"/>
      <c r="D391" s="261"/>
      <c r="E391" s="261"/>
      <c r="F391" s="261"/>
      <c r="G391" s="289"/>
      <c r="H391" s="46"/>
      <c r="I391" s="268"/>
      <c r="J391" s="261"/>
      <c r="K391" s="262"/>
      <c r="L391" s="43"/>
      <c r="M391" s="43"/>
    </row>
    <row r="392" spans="1:13" ht="15" customHeight="1" x14ac:dyDescent="0.35">
      <c r="A392" s="43"/>
      <c r="B392" s="285" t="s">
        <v>32</v>
      </c>
      <c r="C392" s="291" t="str">
        <f>+VLOOKUP(C390,'TARIFAS '!$A$3:$N$239,7,FALSE)</f>
        <v xml:space="preserve">Apresentar-se na porta 04 da Marina la Bodeguita. </v>
      </c>
      <c r="D392" s="264"/>
      <c r="E392" s="264"/>
      <c r="F392" s="264"/>
      <c r="G392" s="288"/>
      <c r="H392" s="58"/>
      <c r="I392" s="263">
        <f>+VLOOKUP(C390,'TARIFAS '!$A$3:$O$239,8,FALSE)*B386</f>
        <v>69000</v>
      </c>
      <c r="J392" s="264"/>
      <c r="K392" s="260"/>
      <c r="L392" s="43"/>
      <c r="M392" s="43"/>
    </row>
    <row r="393" spans="1:13" ht="15" customHeight="1" x14ac:dyDescent="0.35">
      <c r="A393" s="43"/>
      <c r="B393" s="281"/>
      <c r="C393" s="221"/>
      <c r="D393" s="221"/>
      <c r="E393" s="221"/>
      <c r="F393" s="221"/>
      <c r="G393" s="292"/>
      <c r="H393" s="46"/>
      <c r="I393" s="265" t="str">
        <f>+VLOOKUP(C390,'TARIFAS '!$A$3:$O$239,9,FALSE)</f>
        <v>Pagar a taxas portuárias COP 29.000 + Seguro COP 5.500 (valor por pessoa – somente em dinheiro. Valor sujeito a alterações)</v>
      </c>
      <c r="J393" s="221"/>
      <c r="K393" s="266"/>
      <c r="L393" s="43"/>
      <c r="M393" s="43"/>
    </row>
    <row r="394" spans="1:13" ht="15" customHeight="1" x14ac:dyDescent="0.35">
      <c r="A394" s="43"/>
      <c r="B394" s="281"/>
      <c r="C394" s="221"/>
      <c r="D394" s="221"/>
      <c r="E394" s="221"/>
      <c r="F394" s="221"/>
      <c r="G394" s="292"/>
      <c r="H394" s="46"/>
      <c r="I394" s="267"/>
      <c r="J394" s="221"/>
      <c r="K394" s="266"/>
      <c r="L394" s="43"/>
      <c r="M394" s="43"/>
    </row>
    <row r="395" spans="1:13" ht="13.5" customHeight="1" x14ac:dyDescent="0.35">
      <c r="A395" s="43"/>
      <c r="B395" s="281"/>
      <c r="C395" s="221"/>
      <c r="D395" s="221"/>
      <c r="E395" s="221"/>
      <c r="F395" s="221"/>
      <c r="G395" s="292"/>
      <c r="H395" s="46"/>
      <c r="I395" s="267"/>
      <c r="J395" s="221"/>
      <c r="K395" s="266"/>
      <c r="L395" s="43"/>
      <c r="M395" s="43"/>
    </row>
    <row r="396" spans="1:13" ht="14.25" customHeight="1" x14ac:dyDescent="0.35">
      <c r="A396" s="43"/>
      <c r="B396" s="281"/>
      <c r="C396" s="221"/>
      <c r="D396" s="221"/>
      <c r="E396" s="221"/>
      <c r="F396" s="221"/>
      <c r="G396" s="292"/>
      <c r="H396" s="46"/>
      <c r="I396" s="267"/>
      <c r="J396" s="221"/>
      <c r="K396" s="266"/>
      <c r="L396" s="43"/>
      <c r="M396" s="43"/>
    </row>
    <row r="397" spans="1:13" ht="14.25" customHeight="1" x14ac:dyDescent="0.35">
      <c r="A397" s="43"/>
      <c r="B397" s="281"/>
      <c r="C397" s="221"/>
      <c r="D397" s="221"/>
      <c r="E397" s="221"/>
      <c r="F397" s="221"/>
      <c r="G397" s="292"/>
      <c r="H397" s="46"/>
      <c r="I397" s="267"/>
      <c r="J397" s="221"/>
      <c r="K397" s="266"/>
      <c r="L397" s="43"/>
      <c r="M397" s="43"/>
    </row>
    <row r="398" spans="1:13" ht="14.25" customHeight="1" x14ac:dyDescent="0.35">
      <c r="A398" s="43"/>
      <c r="B398" s="281"/>
      <c r="C398" s="261"/>
      <c r="D398" s="261"/>
      <c r="E398" s="261"/>
      <c r="F398" s="261"/>
      <c r="G398" s="289"/>
      <c r="H398" s="46"/>
      <c r="I398" s="268"/>
      <c r="J398" s="261"/>
      <c r="K398" s="262"/>
      <c r="L398" s="43"/>
      <c r="M398" s="43"/>
    </row>
    <row r="399" spans="1:13" ht="14.25" customHeight="1" x14ac:dyDescent="0.25">
      <c r="A399" s="43"/>
      <c r="B399" s="293" t="s">
        <v>33</v>
      </c>
      <c r="C399" s="279"/>
      <c r="D399" s="279"/>
      <c r="E399" s="279"/>
      <c r="F399" s="279"/>
      <c r="G399" s="279"/>
      <c r="H399" s="279"/>
      <c r="I399" s="279"/>
      <c r="J399" s="279"/>
      <c r="K399" s="280"/>
      <c r="L399" s="43"/>
      <c r="M399" s="43"/>
    </row>
    <row r="400" spans="1:13" ht="14.25" customHeight="1" x14ac:dyDescent="0.25">
      <c r="A400" s="43"/>
      <c r="B400" s="294"/>
      <c r="C400" s="295"/>
      <c r="D400" s="295"/>
      <c r="E400" s="295"/>
      <c r="F400" s="295"/>
      <c r="G400" s="295"/>
      <c r="H400" s="295"/>
      <c r="I400" s="295"/>
      <c r="J400" s="295"/>
      <c r="K400" s="296"/>
      <c r="L400" s="43"/>
      <c r="M400" s="43"/>
    </row>
    <row r="401" spans="1:13" ht="14.25" customHeight="1" x14ac:dyDescent="0.25">
      <c r="A401" s="43"/>
      <c r="B401" s="43"/>
      <c r="C401" s="43"/>
      <c r="D401" s="43"/>
      <c r="E401" s="43"/>
      <c r="F401" s="43"/>
      <c r="G401" s="43"/>
      <c r="H401" s="43"/>
      <c r="I401" s="43"/>
      <c r="J401" s="43"/>
      <c r="K401" s="43"/>
      <c r="L401" s="43"/>
      <c r="M401" s="43"/>
    </row>
    <row r="402" spans="1:13" ht="14.25" customHeight="1" x14ac:dyDescent="0.25">
      <c r="A402" s="43"/>
      <c r="B402" s="43"/>
      <c r="C402" s="43"/>
      <c r="D402" s="43"/>
      <c r="E402" s="43"/>
      <c r="F402" s="43"/>
      <c r="G402" s="43"/>
      <c r="H402" s="43"/>
      <c r="I402" s="43"/>
      <c r="J402" s="43"/>
      <c r="K402" s="43"/>
      <c r="L402" s="43"/>
      <c r="M402" s="43"/>
    </row>
    <row r="403" spans="1:13" ht="14.25" customHeight="1" x14ac:dyDescent="0.25">
      <c r="A403" s="43"/>
      <c r="B403" s="43"/>
      <c r="C403" s="43"/>
      <c r="D403" s="43"/>
      <c r="E403" s="43"/>
      <c r="F403" s="43"/>
      <c r="G403" s="43"/>
      <c r="H403" s="43"/>
      <c r="I403" s="43"/>
      <c r="J403" s="43"/>
      <c r="K403" s="43"/>
      <c r="L403" s="43"/>
      <c r="M403" s="43"/>
    </row>
    <row r="404" spans="1:13" ht="14.25" customHeight="1" x14ac:dyDescent="0.25">
      <c r="A404" s="43"/>
      <c r="B404" s="43"/>
      <c r="C404" s="43"/>
      <c r="D404" s="43"/>
      <c r="E404" s="43"/>
      <c r="F404" s="43"/>
      <c r="G404" s="43"/>
      <c r="H404" s="43"/>
      <c r="I404" s="43"/>
      <c r="J404" s="43"/>
      <c r="K404" s="43"/>
      <c r="L404" s="43"/>
      <c r="M404" s="43"/>
    </row>
    <row r="405" spans="1:13" ht="14.25" customHeight="1" x14ac:dyDescent="0.25">
      <c r="A405" s="43"/>
      <c r="B405" s="43"/>
      <c r="C405" s="43"/>
      <c r="D405" s="43"/>
      <c r="E405" s="43"/>
      <c r="F405" s="43"/>
      <c r="G405" s="43"/>
      <c r="H405" s="43"/>
      <c r="I405" s="43"/>
      <c r="J405" s="43"/>
      <c r="K405" s="43"/>
      <c r="L405" s="43"/>
      <c r="M405" s="43"/>
    </row>
    <row r="406" spans="1:13" ht="14.25" customHeight="1" x14ac:dyDescent="0.25">
      <c r="A406" s="43"/>
      <c r="B406" s="43"/>
      <c r="C406" s="43"/>
      <c r="D406" s="43"/>
      <c r="E406" s="43"/>
      <c r="F406" s="43"/>
      <c r="G406" s="43"/>
      <c r="H406" s="43"/>
      <c r="I406" s="43"/>
      <c r="J406" s="43"/>
      <c r="K406" s="43"/>
      <c r="L406" s="43"/>
      <c r="M406" s="43"/>
    </row>
    <row r="407" spans="1:13" ht="14.25" customHeight="1" x14ac:dyDescent="0.25">
      <c r="A407" s="43"/>
      <c r="B407" s="43"/>
      <c r="C407" s="43"/>
      <c r="D407" s="43"/>
      <c r="E407" s="43"/>
      <c r="F407" s="43"/>
      <c r="G407" s="43"/>
      <c r="H407" s="43"/>
      <c r="I407" s="43"/>
      <c r="J407" s="43"/>
      <c r="K407" s="43"/>
      <c r="L407" s="43"/>
      <c r="M407" s="43"/>
    </row>
    <row r="408" spans="1:13" ht="14.25" customHeight="1" x14ac:dyDescent="0.25">
      <c r="A408" s="43"/>
      <c r="B408" s="43"/>
      <c r="C408" s="43"/>
      <c r="D408" s="43"/>
      <c r="E408" s="43"/>
      <c r="F408" s="43"/>
      <c r="G408" s="43"/>
      <c r="H408" s="43"/>
      <c r="I408" s="43"/>
      <c r="J408" s="43"/>
      <c r="K408" s="43"/>
      <c r="L408" s="43"/>
      <c r="M408" s="43"/>
    </row>
    <row r="409" spans="1:13" ht="14.25" customHeight="1" x14ac:dyDescent="0.25">
      <c r="A409" s="43"/>
      <c r="B409" s="43"/>
      <c r="C409" s="43"/>
      <c r="D409" s="43"/>
      <c r="E409" s="43"/>
      <c r="F409" s="43"/>
      <c r="G409" s="43"/>
      <c r="H409" s="43"/>
      <c r="I409" s="43"/>
      <c r="J409" s="43"/>
      <c r="K409" s="43"/>
      <c r="L409" s="43"/>
      <c r="M409" s="43"/>
    </row>
    <row r="410" spans="1:13" ht="14.25" customHeight="1" x14ac:dyDescent="0.25">
      <c r="A410" s="43"/>
      <c r="B410" s="43"/>
      <c r="C410" s="43"/>
      <c r="D410" s="43"/>
      <c r="E410" s="43"/>
      <c r="F410" s="43"/>
      <c r="G410" s="43"/>
      <c r="H410" s="43"/>
      <c r="I410" s="43"/>
      <c r="J410" s="43"/>
      <c r="K410" s="43"/>
      <c r="L410" s="43"/>
      <c r="M410" s="43"/>
    </row>
    <row r="411" spans="1:13" ht="14.25" customHeight="1" x14ac:dyDescent="0.25">
      <c r="A411" s="43"/>
      <c r="B411" s="43"/>
      <c r="C411" s="43"/>
      <c r="D411" s="43"/>
      <c r="E411" s="43"/>
      <c r="F411" s="43"/>
      <c r="G411" s="43"/>
      <c r="H411" s="43"/>
      <c r="I411" s="43"/>
      <c r="J411" s="43"/>
      <c r="K411" s="43"/>
      <c r="L411" s="43"/>
      <c r="M411" s="43"/>
    </row>
    <row r="412" spans="1:13" ht="14.25" customHeight="1" x14ac:dyDescent="0.25">
      <c r="A412" s="43"/>
      <c r="B412" s="43"/>
      <c r="C412" s="43"/>
      <c r="D412" s="43"/>
      <c r="E412" s="43"/>
      <c r="F412" s="43"/>
      <c r="G412" s="43"/>
      <c r="H412" s="43"/>
      <c r="I412" s="43"/>
      <c r="J412" s="43"/>
      <c r="K412" s="43"/>
      <c r="L412" s="43"/>
      <c r="M412" s="43"/>
    </row>
    <row r="413" spans="1:13" ht="14.25" customHeight="1" x14ac:dyDescent="0.25">
      <c r="A413" s="43"/>
      <c r="B413" s="43"/>
      <c r="C413" s="43"/>
      <c r="D413" s="43"/>
      <c r="E413" s="43"/>
      <c r="F413" s="43"/>
      <c r="G413" s="43"/>
      <c r="H413" s="43"/>
      <c r="I413" s="43"/>
      <c r="J413" s="43"/>
      <c r="K413" s="43"/>
      <c r="L413" s="43"/>
      <c r="M413" s="43"/>
    </row>
    <row r="414" spans="1:13" ht="14.25" customHeight="1" x14ac:dyDescent="0.25">
      <c r="A414" s="43"/>
      <c r="B414" s="43"/>
      <c r="C414" s="43"/>
      <c r="D414" s="43"/>
      <c r="E414" s="43"/>
      <c r="F414" s="43"/>
      <c r="G414" s="43"/>
      <c r="H414" s="43"/>
      <c r="I414" s="43"/>
      <c r="J414" s="43"/>
      <c r="K414" s="43"/>
      <c r="L414" s="43"/>
      <c r="M414" s="43"/>
    </row>
    <row r="415" spans="1:13" ht="14.25" customHeight="1" x14ac:dyDescent="0.25">
      <c r="A415" s="43"/>
      <c r="B415" s="43"/>
      <c r="C415" s="43"/>
      <c r="D415" s="43"/>
      <c r="E415" s="43"/>
      <c r="F415" s="43"/>
      <c r="G415" s="43"/>
      <c r="H415" s="43"/>
      <c r="I415" s="43"/>
      <c r="J415" s="43"/>
      <c r="K415" s="43"/>
      <c r="L415" s="43"/>
      <c r="M415" s="43"/>
    </row>
    <row r="416" spans="1:13" ht="14.25" customHeight="1" x14ac:dyDescent="0.25">
      <c r="A416" s="43"/>
      <c r="B416" s="43"/>
      <c r="C416" s="43"/>
      <c r="D416" s="43"/>
      <c r="E416" s="43"/>
      <c r="F416" s="43"/>
      <c r="G416" s="43"/>
      <c r="H416" s="43"/>
      <c r="I416" s="43"/>
      <c r="J416" s="43"/>
      <c r="K416" s="43"/>
      <c r="L416" s="43"/>
      <c r="M416" s="43"/>
    </row>
    <row r="417" spans="1:13" ht="14.25" customHeight="1" x14ac:dyDescent="0.25">
      <c r="A417" s="43"/>
      <c r="B417" s="43"/>
      <c r="C417" s="43"/>
      <c r="D417" s="43"/>
      <c r="E417" s="43"/>
      <c r="F417" s="43"/>
      <c r="G417" s="43"/>
      <c r="H417" s="43"/>
      <c r="I417" s="43"/>
      <c r="J417" s="43"/>
      <c r="K417" s="43"/>
      <c r="L417" s="43"/>
      <c r="M417" s="43"/>
    </row>
    <row r="418" spans="1:13" ht="14.25" customHeight="1" x14ac:dyDescent="0.25">
      <c r="A418" s="43"/>
      <c r="B418" s="43"/>
      <c r="C418" s="43"/>
      <c r="D418" s="43"/>
      <c r="E418" s="43"/>
      <c r="F418" s="43"/>
      <c r="G418" s="43"/>
      <c r="H418" s="43"/>
      <c r="I418" s="43"/>
      <c r="J418" s="43"/>
      <c r="K418" s="43"/>
      <c r="L418" s="43"/>
      <c r="M418" s="43"/>
    </row>
    <row r="419" spans="1:13" ht="14.25" customHeight="1" x14ac:dyDescent="0.25">
      <c r="A419" s="43"/>
      <c r="B419" s="43"/>
      <c r="C419" s="43"/>
      <c r="D419" s="43"/>
      <c r="E419" s="43"/>
      <c r="F419" s="43"/>
      <c r="G419" s="43"/>
      <c r="H419" s="43"/>
      <c r="I419" s="43"/>
      <c r="J419" s="43"/>
      <c r="K419" s="43"/>
      <c r="L419" s="43"/>
      <c r="M419" s="43"/>
    </row>
    <row r="420" spans="1:13" ht="14.25" customHeight="1" x14ac:dyDescent="0.25">
      <c r="A420" s="43"/>
      <c r="B420" s="43"/>
      <c r="C420" s="43"/>
      <c r="D420" s="43"/>
      <c r="E420" s="43"/>
      <c r="F420" s="43"/>
      <c r="G420" s="43"/>
      <c r="H420" s="43"/>
      <c r="I420" s="43"/>
      <c r="J420" s="43"/>
      <c r="K420" s="43"/>
      <c r="L420" s="43"/>
      <c r="M420" s="43"/>
    </row>
    <row r="421" spans="1:13" ht="14.25" customHeight="1" x14ac:dyDescent="0.25">
      <c r="A421" s="43"/>
      <c r="B421" s="43"/>
      <c r="C421" s="43"/>
      <c r="D421" s="43"/>
      <c r="E421" s="43"/>
      <c r="F421" s="43"/>
      <c r="G421" s="43"/>
      <c r="H421" s="43"/>
      <c r="I421" s="43"/>
      <c r="J421" s="43"/>
      <c r="K421" s="43"/>
      <c r="L421" s="43"/>
      <c r="M421" s="43"/>
    </row>
    <row r="422" spans="1:13" ht="14.25" customHeight="1" x14ac:dyDescent="0.25">
      <c r="A422" s="43"/>
      <c r="B422" s="43"/>
      <c r="C422" s="43"/>
      <c r="D422" s="43"/>
      <c r="E422" s="43"/>
      <c r="F422" s="43"/>
      <c r="G422" s="43"/>
      <c r="H422" s="43"/>
      <c r="I422" s="43"/>
      <c r="J422" s="43"/>
      <c r="K422" s="43"/>
      <c r="L422" s="43"/>
      <c r="M422" s="43"/>
    </row>
    <row r="423" spans="1:13" ht="14.25" customHeight="1" x14ac:dyDescent="0.25">
      <c r="A423" s="43"/>
      <c r="B423" s="43"/>
      <c r="C423" s="43"/>
      <c r="D423" s="43"/>
      <c r="E423" s="43"/>
      <c r="F423" s="43"/>
      <c r="G423" s="43"/>
      <c r="H423" s="43"/>
      <c r="I423" s="43"/>
      <c r="J423" s="43"/>
      <c r="K423" s="43"/>
      <c r="L423" s="43"/>
      <c r="M423" s="43"/>
    </row>
    <row r="424" spans="1:13" ht="14.25" customHeight="1" x14ac:dyDescent="0.25">
      <c r="A424" s="43"/>
      <c r="B424" s="43"/>
      <c r="C424" s="43"/>
      <c r="D424" s="43"/>
      <c r="E424" s="43"/>
      <c r="F424" s="43"/>
      <c r="G424" s="43"/>
      <c r="H424" s="43"/>
      <c r="I424" s="43"/>
      <c r="J424" s="43"/>
      <c r="K424" s="43"/>
      <c r="L424" s="43"/>
      <c r="M424" s="43"/>
    </row>
    <row r="425" spans="1:13" ht="14.25" customHeight="1" x14ac:dyDescent="0.25">
      <c r="A425" s="43"/>
      <c r="B425" s="43"/>
      <c r="C425" s="43"/>
      <c r="D425" s="43"/>
      <c r="E425" s="43"/>
      <c r="F425" s="43"/>
      <c r="G425" s="43"/>
      <c r="H425" s="43"/>
      <c r="I425" s="43"/>
      <c r="J425" s="43"/>
      <c r="K425" s="43"/>
      <c r="L425" s="43"/>
      <c r="M425" s="43"/>
    </row>
    <row r="426" spans="1:13" ht="14.25" customHeight="1" x14ac:dyDescent="0.25">
      <c r="A426" s="43"/>
      <c r="B426" s="43"/>
      <c r="C426" s="43"/>
      <c r="D426" s="43"/>
      <c r="E426" s="43"/>
      <c r="F426" s="43"/>
      <c r="G426" s="43"/>
      <c r="H426" s="43"/>
      <c r="I426" s="43"/>
      <c r="J426" s="43"/>
      <c r="K426" s="43"/>
      <c r="L426" s="43"/>
      <c r="M426" s="43"/>
    </row>
    <row r="427" spans="1:13" ht="14.25" customHeight="1" x14ac:dyDescent="0.25">
      <c r="A427" s="43"/>
      <c r="B427" s="43"/>
      <c r="C427" s="43"/>
      <c r="D427" s="43"/>
      <c r="E427" s="43"/>
      <c r="F427" s="43"/>
      <c r="G427" s="43"/>
      <c r="H427" s="43"/>
      <c r="I427" s="43"/>
      <c r="J427" s="43"/>
      <c r="K427" s="43"/>
      <c r="L427" s="43"/>
      <c r="M427" s="43"/>
    </row>
    <row r="428" spans="1:13" ht="14.25" customHeight="1" x14ac:dyDescent="0.25">
      <c r="A428" s="43"/>
      <c r="B428" s="43"/>
      <c r="C428" s="43"/>
      <c r="D428" s="43"/>
      <c r="E428" s="43"/>
      <c r="F428" s="43"/>
      <c r="G428" s="43"/>
      <c r="H428" s="43"/>
      <c r="I428" s="43"/>
      <c r="J428" s="43"/>
      <c r="K428" s="43"/>
      <c r="L428" s="43"/>
      <c r="M428" s="43"/>
    </row>
    <row r="429" spans="1:13" ht="14.25" customHeight="1" x14ac:dyDescent="0.25">
      <c r="A429" s="43"/>
      <c r="B429" s="43"/>
      <c r="C429" s="43"/>
      <c r="D429" s="43"/>
      <c r="E429" s="43"/>
      <c r="F429" s="43"/>
      <c r="G429" s="43"/>
      <c r="H429" s="43"/>
      <c r="I429" s="43"/>
      <c r="J429" s="43"/>
      <c r="K429" s="43"/>
      <c r="L429" s="43"/>
      <c r="M429" s="43"/>
    </row>
    <row r="430" spans="1:13" ht="14.25" customHeight="1" x14ac:dyDescent="0.25">
      <c r="A430" s="43"/>
      <c r="B430" s="43"/>
      <c r="C430" s="43"/>
      <c r="D430" s="43"/>
      <c r="E430" s="43"/>
      <c r="F430" s="43"/>
      <c r="G430" s="43"/>
      <c r="H430" s="43"/>
      <c r="I430" s="43"/>
      <c r="J430" s="43"/>
      <c r="K430" s="43"/>
      <c r="L430" s="43"/>
      <c r="M430" s="43"/>
    </row>
    <row r="431" spans="1:13" ht="14.25" customHeight="1" x14ac:dyDescent="0.25">
      <c r="A431" s="43"/>
      <c r="B431" s="43"/>
      <c r="C431" s="43"/>
      <c r="D431" s="43"/>
      <c r="E431" s="43"/>
      <c r="F431" s="43"/>
      <c r="G431" s="43"/>
      <c r="H431" s="43"/>
      <c r="I431" s="43"/>
      <c r="J431" s="43"/>
      <c r="K431" s="43"/>
      <c r="L431" s="43"/>
      <c r="M431" s="43"/>
    </row>
    <row r="432" spans="1:13" ht="14.25" customHeight="1" x14ac:dyDescent="0.25">
      <c r="A432" s="43"/>
      <c r="B432" s="43"/>
      <c r="C432" s="43"/>
      <c r="D432" s="43"/>
      <c r="E432" s="43"/>
      <c r="F432" s="43"/>
      <c r="G432" s="43"/>
      <c r="H432" s="43"/>
      <c r="I432" s="43"/>
      <c r="J432" s="43"/>
      <c r="K432" s="43"/>
      <c r="L432" s="43"/>
      <c r="M432" s="43"/>
    </row>
    <row r="433" spans="1:13" ht="14.25" customHeight="1" x14ac:dyDescent="0.25">
      <c r="A433" s="43"/>
      <c r="B433" s="43"/>
      <c r="C433" s="43"/>
      <c r="D433" s="43"/>
      <c r="E433" s="43"/>
      <c r="F433" s="43"/>
      <c r="G433" s="43"/>
      <c r="H433" s="43"/>
      <c r="I433" s="43"/>
      <c r="J433" s="43"/>
      <c r="K433" s="43"/>
      <c r="L433" s="43"/>
      <c r="M433" s="43"/>
    </row>
    <row r="434" spans="1:13" ht="14.25" customHeight="1" x14ac:dyDescent="0.25">
      <c r="A434" s="43"/>
      <c r="B434" s="43"/>
      <c r="C434" s="43"/>
      <c r="D434" s="43"/>
      <c r="E434" s="43"/>
      <c r="F434" s="43"/>
      <c r="G434" s="43"/>
      <c r="H434" s="43"/>
      <c r="I434" s="43"/>
      <c r="J434" s="43"/>
      <c r="K434" s="43"/>
      <c r="L434" s="43"/>
      <c r="M434" s="43"/>
    </row>
    <row r="435" spans="1:13" ht="14.25" customHeight="1" x14ac:dyDescent="0.25">
      <c r="A435" s="43"/>
      <c r="B435" s="43"/>
      <c r="C435" s="43"/>
      <c r="D435" s="43"/>
      <c r="E435" s="43"/>
      <c r="F435" s="43"/>
      <c r="G435" s="43"/>
      <c r="H435" s="43"/>
      <c r="I435" s="43"/>
      <c r="J435" s="43"/>
      <c r="K435" s="43"/>
      <c r="L435" s="43"/>
      <c r="M435" s="43"/>
    </row>
    <row r="436" spans="1:13" ht="14.25" customHeight="1" x14ac:dyDescent="0.25">
      <c r="A436" s="43"/>
      <c r="B436" s="43"/>
      <c r="C436" s="43"/>
      <c r="D436" s="43"/>
      <c r="E436" s="43"/>
      <c r="F436" s="43"/>
      <c r="G436" s="43"/>
      <c r="H436" s="43"/>
      <c r="I436" s="43"/>
      <c r="J436" s="43"/>
      <c r="K436" s="43"/>
      <c r="L436" s="43"/>
      <c r="M436" s="43"/>
    </row>
    <row r="437" spans="1:13" ht="14.25" customHeight="1" x14ac:dyDescent="0.25">
      <c r="A437" s="43"/>
      <c r="B437" s="43"/>
      <c r="C437" s="43"/>
      <c r="D437" s="43"/>
      <c r="E437" s="43"/>
      <c r="F437" s="43"/>
      <c r="G437" s="43"/>
      <c r="H437" s="43"/>
      <c r="I437" s="43"/>
      <c r="J437" s="43"/>
      <c r="K437" s="43"/>
      <c r="L437" s="43"/>
      <c r="M437" s="43"/>
    </row>
    <row r="438" spans="1:13" ht="14.25" customHeight="1" x14ac:dyDescent="0.25">
      <c r="A438" s="43"/>
      <c r="B438" s="43"/>
      <c r="C438" s="43"/>
      <c r="D438" s="43"/>
      <c r="E438" s="43"/>
      <c r="F438" s="43"/>
      <c r="G438" s="43"/>
      <c r="H438" s="43"/>
      <c r="I438" s="43"/>
      <c r="J438" s="43"/>
      <c r="K438" s="43"/>
      <c r="L438" s="43"/>
      <c r="M438" s="43"/>
    </row>
    <row r="439" spans="1:13" ht="14.25" customHeight="1" x14ac:dyDescent="0.25">
      <c r="A439" s="43"/>
      <c r="B439" s="43"/>
      <c r="C439" s="43"/>
      <c r="D439" s="43"/>
      <c r="E439" s="43"/>
      <c r="F439" s="43"/>
      <c r="G439" s="43"/>
      <c r="H439" s="43"/>
      <c r="I439" s="43"/>
      <c r="J439" s="43"/>
      <c r="K439" s="43"/>
      <c r="L439" s="43"/>
      <c r="M439" s="43"/>
    </row>
    <row r="440" spans="1:13" ht="14.25" customHeight="1" x14ac:dyDescent="0.25">
      <c r="A440" s="43"/>
      <c r="B440" s="43"/>
      <c r="C440" s="43"/>
      <c r="D440" s="43"/>
      <c r="E440" s="43"/>
      <c r="F440" s="43"/>
      <c r="G440" s="43"/>
      <c r="H440" s="43"/>
      <c r="I440" s="43"/>
      <c r="J440" s="43"/>
      <c r="K440" s="43"/>
      <c r="L440" s="43"/>
      <c r="M440" s="43"/>
    </row>
    <row r="441" spans="1:13" ht="14.25" customHeight="1" x14ac:dyDescent="0.25">
      <c r="A441" s="43"/>
      <c r="B441" s="43"/>
      <c r="C441" s="43"/>
      <c r="D441" s="43"/>
      <c r="E441" s="43"/>
      <c r="F441" s="43"/>
      <c r="G441" s="43"/>
      <c r="H441" s="43"/>
      <c r="I441" s="43"/>
      <c r="J441" s="43"/>
      <c r="K441" s="43"/>
      <c r="L441" s="43"/>
      <c r="M441" s="43"/>
    </row>
    <row r="442" spans="1:13" ht="14.25" customHeight="1" x14ac:dyDescent="0.25">
      <c r="A442" s="43"/>
      <c r="B442" s="43"/>
      <c r="C442" s="43"/>
      <c r="D442" s="43"/>
      <c r="E442" s="43"/>
      <c r="F442" s="43"/>
      <c r="G442" s="43"/>
      <c r="H442" s="43"/>
      <c r="I442" s="43"/>
      <c r="J442" s="43"/>
      <c r="K442" s="43"/>
      <c r="L442" s="43"/>
      <c r="M442" s="43"/>
    </row>
    <row r="443" spans="1:13" ht="14.25" customHeight="1" x14ac:dyDescent="0.25">
      <c r="A443" s="43"/>
      <c r="B443" s="43"/>
      <c r="C443" s="43"/>
      <c r="D443" s="43"/>
      <c r="E443" s="43"/>
      <c r="F443" s="43"/>
      <c r="G443" s="43"/>
      <c r="H443" s="43"/>
      <c r="I443" s="43"/>
      <c r="J443" s="43"/>
      <c r="K443" s="43"/>
      <c r="L443" s="43"/>
      <c r="M443" s="43"/>
    </row>
    <row r="444" spans="1:13" ht="14.25" customHeight="1" x14ac:dyDescent="0.25">
      <c r="A444" s="43"/>
      <c r="B444" s="43"/>
      <c r="C444" s="43"/>
      <c r="D444" s="43"/>
      <c r="E444" s="43"/>
      <c r="F444" s="43"/>
      <c r="G444" s="43"/>
      <c r="H444" s="43"/>
      <c r="I444" s="43"/>
      <c r="J444" s="43"/>
      <c r="K444" s="43"/>
      <c r="L444" s="43"/>
      <c r="M444" s="43"/>
    </row>
    <row r="445" spans="1:13" ht="14.25" customHeight="1" x14ac:dyDescent="0.25">
      <c r="A445" s="43"/>
      <c r="B445" s="43"/>
      <c r="C445" s="43"/>
      <c r="D445" s="43"/>
      <c r="E445" s="43"/>
      <c r="F445" s="43"/>
      <c r="G445" s="43"/>
      <c r="H445" s="43"/>
      <c r="I445" s="43"/>
      <c r="J445" s="43"/>
      <c r="K445" s="43"/>
      <c r="L445" s="43"/>
      <c r="M445" s="43"/>
    </row>
    <row r="446" spans="1:13" ht="14.25" customHeight="1" x14ac:dyDescent="0.25">
      <c r="A446" s="43"/>
      <c r="B446" s="43"/>
      <c r="C446" s="43"/>
      <c r="D446" s="43"/>
      <c r="E446" s="43"/>
      <c r="F446" s="43"/>
      <c r="G446" s="43"/>
      <c r="H446" s="43"/>
      <c r="I446" s="43"/>
      <c r="J446" s="43"/>
      <c r="K446" s="43"/>
      <c r="L446" s="43"/>
      <c r="M446" s="43"/>
    </row>
    <row r="447" spans="1:13" ht="14.25" customHeight="1" x14ac:dyDescent="0.25">
      <c r="A447" s="43"/>
      <c r="B447" s="43"/>
      <c r="C447" s="43"/>
      <c r="D447" s="43"/>
      <c r="E447" s="43"/>
      <c r="F447" s="43"/>
      <c r="G447" s="43"/>
      <c r="H447" s="43"/>
      <c r="I447" s="43"/>
      <c r="J447" s="43"/>
      <c r="K447" s="43"/>
      <c r="L447" s="43"/>
      <c r="M447" s="43"/>
    </row>
    <row r="448" spans="1:13" ht="14.25" customHeight="1" x14ac:dyDescent="0.25">
      <c r="A448" s="43"/>
      <c r="B448" s="43"/>
      <c r="C448" s="43"/>
      <c r="D448" s="43"/>
      <c r="E448" s="43"/>
      <c r="F448" s="43"/>
      <c r="G448" s="43"/>
      <c r="H448" s="43"/>
      <c r="I448" s="43"/>
      <c r="J448" s="43"/>
      <c r="K448" s="43"/>
      <c r="L448" s="43"/>
      <c r="M448" s="43"/>
    </row>
    <row r="449" spans="1:13" ht="14.25" customHeight="1" x14ac:dyDescent="0.25">
      <c r="A449" s="43"/>
      <c r="B449" s="43"/>
      <c r="C449" s="43"/>
      <c r="D449" s="43"/>
      <c r="E449" s="43"/>
      <c r="F449" s="43"/>
      <c r="G449" s="43"/>
      <c r="H449" s="43"/>
      <c r="I449" s="43"/>
      <c r="J449" s="43"/>
      <c r="K449" s="43"/>
      <c r="L449" s="43"/>
      <c r="M449" s="43"/>
    </row>
    <row r="450" spans="1:13" ht="14.25" customHeight="1" x14ac:dyDescent="0.25">
      <c r="A450" s="43"/>
      <c r="B450" s="43"/>
      <c r="C450" s="43"/>
      <c r="D450" s="43"/>
      <c r="E450" s="43"/>
      <c r="F450" s="43"/>
      <c r="G450" s="43"/>
      <c r="H450" s="43"/>
      <c r="I450" s="43"/>
      <c r="J450" s="43"/>
      <c r="K450" s="43"/>
      <c r="L450" s="43"/>
      <c r="M450" s="43"/>
    </row>
    <row r="451" spans="1:13" ht="14.25" customHeight="1" x14ac:dyDescent="0.25">
      <c r="A451" s="43"/>
      <c r="B451" s="43"/>
      <c r="C451" s="43"/>
      <c r="D451" s="43"/>
      <c r="E451" s="43"/>
      <c r="F451" s="43"/>
      <c r="G451" s="43"/>
      <c r="H451" s="43"/>
      <c r="I451" s="43"/>
      <c r="J451" s="43"/>
      <c r="K451" s="43"/>
      <c r="L451" s="43"/>
      <c r="M451" s="43"/>
    </row>
    <row r="452" spans="1:13" ht="14.25" customHeight="1" x14ac:dyDescent="0.25">
      <c r="A452" s="43"/>
      <c r="B452" s="43"/>
      <c r="C452" s="43"/>
      <c r="D452" s="43"/>
      <c r="E452" s="43"/>
      <c r="F452" s="43"/>
      <c r="G452" s="43"/>
      <c r="H452" s="43"/>
      <c r="I452" s="43"/>
      <c r="J452" s="43"/>
      <c r="K452" s="43"/>
      <c r="L452" s="43"/>
      <c r="M452" s="43"/>
    </row>
    <row r="453" spans="1:13" ht="14.25" customHeight="1" x14ac:dyDescent="0.25">
      <c r="A453" s="43"/>
      <c r="B453" s="43"/>
      <c r="C453" s="43"/>
      <c r="D453" s="43"/>
      <c r="E453" s="43"/>
      <c r="F453" s="43"/>
      <c r="G453" s="43"/>
      <c r="H453" s="43"/>
      <c r="I453" s="43"/>
      <c r="J453" s="43"/>
      <c r="K453" s="43"/>
      <c r="L453" s="43"/>
      <c r="M453" s="43"/>
    </row>
    <row r="454" spans="1:13" ht="14.25" customHeight="1" x14ac:dyDescent="0.25">
      <c r="A454" s="43"/>
      <c r="B454" s="43"/>
      <c r="C454" s="43"/>
      <c r="D454" s="43"/>
      <c r="E454" s="43"/>
      <c r="F454" s="43"/>
      <c r="G454" s="43"/>
      <c r="H454" s="43"/>
      <c r="I454" s="43"/>
      <c r="J454" s="43"/>
      <c r="K454" s="43"/>
      <c r="L454" s="43"/>
      <c r="M454" s="43"/>
    </row>
    <row r="455" spans="1:13" ht="14.25" customHeight="1" x14ac:dyDescent="0.25">
      <c r="A455" s="43"/>
      <c r="B455" s="43"/>
      <c r="C455" s="43"/>
      <c r="D455" s="43"/>
      <c r="E455" s="43"/>
      <c r="F455" s="43"/>
      <c r="G455" s="43"/>
      <c r="H455" s="43"/>
      <c r="I455" s="43"/>
      <c r="J455" s="43"/>
      <c r="K455" s="43"/>
      <c r="L455" s="43"/>
      <c r="M455" s="43"/>
    </row>
    <row r="456" spans="1:13" ht="14.25" customHeight="1" x14ac:dyDescent="0.25">
      <c r="A456" s="43"/>
      <c r="B456" s="43"/>
      <c r="C456" s="43"/>
      <c r="D456" s="43"/>
      <c r="E456" s="43"/>
      <c r="F456" s="43"/>
      <c r="G456" s="43"/>
      <c r="H456" s="43"/>
      <c r="I456" s="43"/>
      <c r="J456" s="43"/>
      <c r="K456" s="43"/>
      <c r="L456" s="43"/>
      <c r="M456" s="43"/>
    </row>
    <row r="457" spans="1:13" ht="14.25" customHeight="1" x14ac:dyDescent="0.25">
      <c r="A457" s="43"/>
      <c r="B457" s="43"/>
      <c r="C457" s="43"/>
      <c r="D457" s="43"/>
      <c r="E457" s="43"/>
      <c r="F457" s="43"/>
      <c r="G457" s="43"/>
      <c r="H457" s="43"/>
      <c r="I457" s="43"/>
      <c r="J457" s="43"/>
      <c r="K457" s="43"/>
      <c r="L457" s="43"/>
      <c r="M457" s="43"/>
    </row>
    <row r="458" spans="1:13" ht="14.25" customHeight="1" x14ac:dyDescent="0.25">
      <c r="A458" s="43"/>
      <c r="B458" s="43"/>
      <c r="C458" s="43"/>
      <c r="D458" s="43"/>
      <c r="E458" s="43"/>
      <c r="F458" s="43"/>
      <c r="G458" s="43"/>
      <c r="H458" s="43"/>
      <c r="I458" s="43"/>
      <c r="J458" s="43"/>
      <c r="K458" s="43"/>
      <c r="L458" s="43"/>
      <c r="M458" s="43"/>
    </row>
    <row r="459" spans="1:13" ht="14.25" customHeight="1" x14ac:dyDescent="0.25">
      <c r="A459" s="43"/>
      <c r="B459" s="43"/>
      <c r="C459" s="43"/>
      <c r="D459" s="43"/>
      <c r="E459" s="43"/>
      <c r="F459" s="43"/>
      <c r="G459" s="43"/>
      <c r="H459" s="43"/>
      <c r="I459" s="43"/>
      <c r="J459" s="43"/>
      <c r="K459" s="43"/>
      <c r="L459" s="43"/>
      <c r="M459" s="43"/>
    </row>
    <row r="460" spans="1:13" ht="14.25" customHeight="1" x14ac:dyDescent="0.25">
      <c r="A460" s="43"/>
      <c r="B460" s="43"/>
      <c r="C460" s="43"/>
      <c r="D460" s="43"/>
      <c r="E460" s="43"/>
      <c r="F460" s="43"/>
      <c r="G460" s="43"/>
      <c r="H460" s="43"/>
      <c r="I460" s="43"/>
      <c r="J460" s="43"/>
      <c r="K460" s="43"/>
      <c r="L460" s="43"/>
      <c r="M460" s="43"/>
    </row>
    <row r="461" spans="1:13" ht="14.25" customHeight="1" x14ac:dyDescent="0.25">
      <c r="A461" s="43"/>
      <c r="B461" s="43"/>
      <c r="C461" s="43"/>
      <c r="D461" s="43"/>
      <c r="E461" s="43"/>
      <c r="F461" s="43"/>
      <c r="G461" s="43"/>
      <c r="H461" s="43"/>
      <c r="I461" s="43"/>
      <c r="J461" s="43"/>
      <c r="K461" s="43"/>
      <c r="L461" s="43"/>
      <c r="M461" s="43"/>
    </row>
    <row r="462" spans="1:13" ht="14.25" customHeight="1" x14ac:dyDescent="0.25">
      <c r="A462" s="43"/>
      <c r="B462" s="43"/>
      <c r="C462" s="43"/>
      <c r="D462" s="43"/>
      <c r="E462" s="43"/>
      <c r="F462" s="43"/>
      <c r="G462" s="43"/>
      <c r="H462" s="43"/>
      <c r="I462" s="43"/>
      <c r="J462" s="43"/>
      <c r="K462" s="43"/>
      <c r="L462" s="43"/>
      <c r="M462" s="43"/>
    </row>
    <row r="463" spans="1:13" ht="14.25" customHeight="1" x14ac:dyDescent="0.25">
      <c r="A463" s="43"/>
      <c r="B463" s="43"/>
      <c r="C463" s="43"/>
      <c r="D463" s="43"/>
      <c r="E463" s="43"/>
      <c r="F463" s="43"/>
      <c r="G463" s="43"/>
      <c r="H463" s="43"/>
      <c r="I463" s="43"/>
      <c r="J463" s="43"/>
      <c r="K463" s="43"/>
      <c r="L463" s="43"/>
      <c r="M463" s="43"/>
    </row>
    <row r="464" spans="1:13" ht="14.25" customHeight="1" x14ac:dyDescent="0.25">
      <c r="A464" s="43"/>
      <c r="B464" s="43"/>
      <c r="C464" s="43"/>
      <c r="D464" s="43"/>
      <c r="E464" s="43"/>
      <c r="F464" s="43"/>
      <c r="G464" s="43"/>
      <c r="H464" s="43"/>
      <c r="I464" s="43"/>
      <c r="J464" s="43"/>
      <c r="K464" s="43"/>
      <c r="L464" s="43"/>
      <c r="M464" s="43"/>
    </row>
    <row r="465" spans="1:13" ht="14.25" customHeight="1" x14ac:dyDescent="0.25">
      <c r="A465" s="43"/>
      <c r="B465" s="43"/>
      <c r="C465" s="43"/>
      <c r="D465" s="43"/>
      <c r="E465" s="43"/>
      <c r="F465" s="43"/>
      <c r="G465" s="43"/>
      <c r="H465" s="43"/>
      <c r="I465" s="43"/>
      <c r="J465" s="43"/>
      <c r="K465" s="43"/>
      <c r="L465" s="43"/>
      <c r="M465" s="43"/>
    </row>
    <row r="466" spans="1:13" ht="14.25" customHeight="1" x14ac:dyDescent="0.25">
      <c r="A466" s="43"/>
      <c r="B466" s="43"/>
      <c r="C466" s="43"/>
      <c r="D466" s="43"/>
      <c r="E466" s="43"/>
      <c r="F466" s="43"/>
      <c r="G466" s="43"/>
      <c r="H466" s="43"/>
      <c r="I466" s="43"/>
      <c r="J466" s="43"/>
      <c r="K466" s="43"/>
      <c r="L466" s="43"/>
      <c r="M466" s="43"/>
    </row>
    <row r="467" spans="1:13" ht="14.25" customHeight="1" x14ac:dyDescent="0.25">
      <c r="A467" s="43"/>
      <c r="B467" s="43"/>
      <c r="C467" s="43"/>
      <c r="D467" s="43"/>
      <c r="E467" s="43"/>
      <c r="F467" s="43"/>
      <c r="G467" s="43"/>
      <c r="H467" s="43"/>
      <c r="I467" s="43"/>
      <c r="J467" s="43"/>
      <c r="K467" s="43"/>
      <c r="L467" s="43"/>
      <c r="M467" s="43"/>
    </row>
    <row r="468" spans="1:13" ht="14.25" customHeight="1" x14ac:dyDescent="0.25">
      <c r="A468" s="43"/>
      <c r="B468" s="43"/>
      <c r="C468" s="43"/>
      <c r="D468" s="43"/>
      <c r="E468" s="43"/>
      <c r="F468" s="43"/>
      <c r="G468" s="43"/>
      <c r="H468" s="43"/>
      <c r="I468" s="43"/>
      <c r="J468" s="43"/>
      <c r="K468" s="43"/>
      <c r="L468" s="43"/>
      <c r="M468" s="43"/>
    </row>
    <row r="469" spans="1:13" ht="14.25" customHeight="1" x14ac:dyDescent="0.25">
      <c r="A469" s="43"/>
      <c r="B469" s="43"/>
      <c r="C469" s="43"/>
      <c r="D469" s="43"/>
      <c r="E469" s="43"/>
      <c r="F469" s="43"/>
      <c r="G469" s="43"/>
      <c r="H469" s="43"/>
      <c r="I469" s="43"/>
      <c r="J469" s="43"/>
      <c r="K469" s="43"/>
      <c r="L469" s="43"/>
      <c r="M469" s="43"/>
    </row>
    <row r="470" spans="1:13" ht="14.25" customHeight="1" x14ac:dyDescent="0.25">
      <c r="A470" s="43"/>
      <c r="B470" s="43"/>
      <c r="C470" s="43"/>
      <c r="D470" s="43"/>
      <c r="E470" s="43"/>
      <c r="F470" s="43"/>
      <c r="G470" s="43"/>
      <c r="H470" s="43"/>
      <c r="I470" s="43"/>
      <c r="J470" s="43"/>
      <c r="K470" s="43"/>
      <c r="L470" s="43"/>
      <c r="M470" s="43"/>
    </row>
    <row r="471" spans="1:13" ht="14.25" customHeight="1" x14ac:dyDescent="0.25">
      <c r="A471" s="43"/>
      <c r="B471" s="43"/>
      <c r="C471" s="43"/>
      <c r="D471" s="43"/>
      <c r="E471" s="43"/>
      <c r="F471" s="43"/>
      <c r="G471" s="43"/>
      <c r="H471" s="43"/>
      <c r="I471" s="43"/>
      <c r="J471" s="43"/>
      <c r="K471" s="43"/>
      <c r="L471" s="43"/>
      <c r="M471" s="43"/>
    </row>
    <row r="472" spans="1:13" ht="14.25" customHeight="1" x14ac:dyDescent="0.25">
      <c r="A472" s="43"/>
      <c r="B472" s="43"/>
      <c r="C472" s="43"/>
      <c r="D472" s="43"/>
      <c r="E472" s="43"/>
      <c r="F472" s="43"/>
      <c r="G472" s="43"/>
      <c r="H472" s="43"/>
      <c r="I472" s="43"/>
      <c r="J472" s="43"/>
      <c r="K472" s="43"/>
      <c r="L472" s="43"/>
      <c r="M472" s="43"/>
    </row>
    <row r="473" spans="1:13" ht="14.25" customHeight="1" x14ac:dyDescent="0.25">
      <c r="A473" s="43"/>
      <c r="B473" s="43"/>
      <c r="C473" s="43"/>
      <c r="D473" s="43"/>
      <c r="E473" s="43"/>
      <c r="F473" s="43"/>
      <c r="G473" s="43"/>
      <c r="H473" s="43"/>
      <c r="I473" s="43"/>
      <c r="J473" s="43"/>
      <c r="K473" s="43"/>
      <c r="L473" s="43"/>
      <c r="M473" s="43"/>
    </row>
    <row r="474" spans="1:13" ht="14.25" customHeight="1" x14ac:dyDescent="0.25">
      <c r="A474" s="43"/>
      <c r="B474" s="43"/>
      <c r="C474" s="43"/>
      <c r="D474" s="43"/>
      <c r="E474" s="43"/>
      <c r="F474" s="43"/>
      <c r="G474" s="43"/>
      <c r="H474" s="43"/>
      <c r="I474" s="43"/>
      <c r="J474" s="43"/>
      <c r="K474" s="43"/>
      <c r="L474" s="43"/>
      <c r="M474" s="43"/>
    </row>
    <row r="475" spans="1:13" ht="14.25" customHeight="1" x14ac:dyDescent="0.25">
      <c r="A475" s="43"/>
      <c r="B475" s="43"/>
      <c r="C475" s="43"/>
      <c r="D475" s="43"/>
      <c r="E475" s="43"/>
      <c r="F475" s="43"/>
      <c r="G475" s="43"/>
      <c r="H475" s="43"/>
      <c r="I475" s="43"/>
      <c r="J475" s="43"/>
      <c r="K475" s="43"/>
      <c r="L475" s="43"/>
      <c r="M475" s="43"/>
    </row>
    <row r="476" spans="1:13" ht="14.25" customHeight="1" x14ac:dyDescent="0.25">
      <c r="A476" s="43"/>
      <c r="B476" s="43"/>
      <c r="C476" s="43"/>
      <c r="D476" s="43"/>
      <c r="E476" s="43"/>
      <c r="F476" s="43"/>
      <c r="G476" s="43"/>
      <c r="H476" s="43"/>
      <c r="I476" s="43"/>
      <c r="J476" s="43"/>
      <c r="K476" s="43"/>
      <c r="L476" s="43"/>
      <c r="M476" s="43"/>
    </row>
    <row r="477" spans="1:13" ht="14.25" customHeight="1" x14ac:dyDescent="0.25">
      <c r="A477" s="43"/>
      <c r="B477" s="43"/>
      <c r="C477" s="43"/>
      <c r="D477" s="43"/>
      <c r="E477" s="43"/>
      <c r="F477" s="43"/>
      <c r="G477" s="43"/>
      <c r="H477" s="43"/>
      <c r="I477" s="43"/>
      <c r="J477" s="43"/>
      <c r="K477" s="43"/>
      <c r="L477" s="43"/>
      <c r="M477" s="43"/>
    </row>
    <row r="478" spans="1:13" ht="14.25" customHeight="1" x14ac:dyDescent="0.25">
      <c r="A478" s="43"/>
      <c r="B478" s="43"/>
      <c r="C478" s="43"/>
      <c r="D478" s="43"/>
      <c r="E478" s="43"/>
      <c r="F478" s="43"/>
      <c r="G478" s="43"/>
      <c r="H478" s="43"/>
      <c r="I478" s="43"/>
      <c r="J478" s="43"/>
      <c r="K478" s="43"/>
      <c r="L478" s="43"/>
      <c r="M478" s="43"/>
    </row>
    <row r="479" spans="1:13" ht="14.25" customHeight="1" x14ac:dyDescent="0.25">
      <c r="A479" s="43"/>
      <c r="B479" s="43"/>
      <c r="C479" s="43"/>
      <c r="D479" s="43"/>
      <c r="E479" s="43"/>
      <c r="F479" s="43"/>
      <c r="G479" s="43"/>
      <c r="H479" s="43"/>
      <c r="I479" s="43"/>
      <c r="J479" s="43"/>
      <c r="K479" s="43"/>
      <c r="L479" s="43"/>
      <c r="M479" s="43"/>
    </row>
    <row r="480" spans="1:13" ht="14.25" customHeight="1" x14ac:dyDescent="0.25">
      <c r="A480" s="43"/>
      <c r="B480" s="43"/>
      <c r="C480" s="43"/>
      <c r="D480" s="43"/>
      <c r="E480" s="43"/>
      <c r="F480" s="43"/>
      <c r="G480" s="43"/>
      <c r="H480" s="43"/>
      <c r="I480" s="43"/>
      <c r="J480" s="43"/>
      <c r="K480" s="43"/>
      <c r="L480" s="43"/>
      <c r="M480" s="43"/>
    </row>
    <row r="481" spans="1:13" ht="14.25" customHeight="1" x14ac:dyDescent="0.25">
      <c r="A481" s="43"/>
      <c r="B481" s="43"/>
      <c r="C481" s="43"/>
      <c r="D481" s="43"/>
      <c r="E481" s="43"/>
      <c r="F481" s="43"/>
      <c r="G481" s="43"/>
      <c r="H481" s="43"/>
      <c r="I481" s="43"/>
      <c r="J481" s="43"/>
      <c r="K481" s="43"/>
      <c r="L481" s="43"/>
      <c r="M481" s="43"/>
    </row>
    <row r="482" spans="1:13" ht="14.25" customHeight="1" x14ac:dyDescent="0.25">
      <c r="A482" s="43"/>
      <c r="B482" s="43"/>
      <c r="C482" s="43"/>
      <c r="D482" s="43"/>
      <c r="E482" s="43"/>
      <c r="F482" s="43"/>
      <c r="G482" s="43"/>
      <c r="H482" s="43"/>
      <c r="I482" s="43"/>
      <c r="J482" s="43"/>
      <c r="K482" s="43"/>
      <c r="L482" s="43"/>
      <c r="M482" s="43"/>
    </row>
    <row r="483" spans="1:13" ht="14.25" customHeight="1" x14ac:dyDescent="0.25">
      <c r="A483" s="43"/>
      <c r="B483" s="43"/>
      <c r="C483" s="43"/>
      <c r="D483" s="43"/>
      <c r="E483" s="43"/>
      <c r="F483" s="43"/>
      <c r="G483" s="43"/>
      <c r="H483" s="43"/>
      <c r="I483" s="43"/>
      <c r="J483" s="43"/>
      <c r="K483" s="43"/>
      <c r="L483" s="43"/>
      <c r="M483" s="43"/>
    </row>
    <row r="484" spans="1:13" ht="14.25" customHeight="1" x14ac:dyDescent="0.25">
      <c r="A484" s="43"/>
      <c r="B484" s="43"/>
      <c r="C484" s="43"/>
      <c r="D484" s="43"/>
      <c r="E484" s="43"/>
      <c r="F484" s="43"/>
      <c r="G484" s="43"/>
      <c r="H484" s="43"/>
      <c r="I484" s="43"/>
      <c r="J484" s="43"/>
      <c r="K484" s="43"/>
      <c r="L484" s="43"/>
      <c r="M484" s="43"/>
    </row>
    <row r="485" spans="1:13" ht="14.25" customHeight="1" x14ac:dyDescent="0.25">
      <c r="A485" s="43"/>
      <c r="B485" s="43"/>
      <c r="C485" s="43"/>
      <c r="D485" s="43"/>
      <c r="E485" s="43"/>
      <c r="F485" s="43"/>
      <c r="G485" s="43"/>
      <c r="H485" s="43"/>
      <c r="I485" s="43"/>
      <c r="J485" s="43"/>
      <c r="K485" s="43"/>
      <c r="L485" s="43"/>
      <c r="M485" s="43"/>
    </row>
    <row r="486" spans="1:13" ht="14.25" customHeight="1" x14ac:dyDescent="0.25">
      <c r="A486" s="43"/>
      <c r="B486" s="43"/>
      <c r="C486" s="43"/>
      <c r="D486" s="43"/>
      <c r="E486" s="43"/>
      <c r="F486" s="43"/>
      <c r="G486" s="43"/>
      <c r="H486" s="43"/>
      <c r="I486" s="43"/>
      <c r="J486" s="43"/>
      <c r="K486" s="43"/>
      <c r="L486" s="43"/>
      <c r="M486" s="43"/>
    </row>
    <row r="487" spans="1:13" ht="14.25" customHeight="1" x14ac:dyDescent="0.25">
      <c r="A487" s="43"/>
      <c r="B487" s="43"/>
      <c r="C487" s="43"/>
      <c r="D487" s="43"/>
      <c r="E487" s="43"/>
      <c r="F487" s="43"/>
      <c r="G487" s="43"/>
      <c r="H487" s="43"/>
      <c r="I487" s="43"/>
      <c r="J487" s="43"/>
      <c r="K487" s="43"/>
      <c r="L487" s="43"/>
      <c r="M487" s="43"/>
    </row>
    <row r="488" spans="1:13" ht="14.25" customHeight="1" x14ac:dyDescent="0.25">
      <c r="A488" s="43"/>
      <c r="B488" s="43"/>
      <c r="C488" s="43"/>
      <c r="D488" s="43"/>
      <c r="E488" s="43"/>
      <c r="F488" s="43"/>
      <c r="G488" s="43"/>
      <c r="H488" s="43"/>
      <c r="I488" s="43"/>
      <c r="J488" s="43"/>
      <c r="K488" s="43"/>
      <c r="L488" s="43"/>
      <c r="M488" s="43"/>
    </row>
    <row r="489" spans="1:13" ht="14.25" customHeight="1" x14ac:dyDescent="0.25">
      <c r="A489" s="43"/>
      <c r="B489" s="43"/>
      <c r="C489" s="43"/>
      <c r="D489" s="43"/>
      <c r="E489" s="43"/>
      <c r="F489" s="43"/>
      <c r="G489" s="43"/>
      <c r="H489" s="43"/>
      <c r="I489" s="43"/>
      <c r="J489" s="43"/>
      <c r="K489" s="43"/>
      <c r="L489" s="43"/>
      <c r="M489" s="43"/>
    </row>
    <row r="490" spans="1:13" ht="14.25" customHeight="1" x14ac:dyDescent="0.25">
      <c r="A490" s="43"/>
      <c r="B490" s="43"/>
      <c r="C490" s="43"/>
      <c r="D490" s="43"/>
      <c r="E490" s="43"/>
      <c r="F490" s="43"/>
      <c r="G490" s="43"/>
      <c r="H490" s="43"/>
      <c r="I490" s="43"/>
      <c r="J490" s="43"/>
      <c r="K490" s="43"/>
      <c r="L490" s="43"/>
      <c r="M490" s="43"/>
    </row>
    <row r="491" spans="1:13" ht="14.25" customHeight="1" x14ac:dyDescent="0.25">
      <c r="A491" s="43"/>
      <c r="B491" s="43"/>
      <c r="C491" s="43"/>
      <c r="D491" s="43"/>
      <c r="E491" s="43"/>
      <c r="F491" s="43"/>
      <c r="G491" s="43"/>
      <c r="H491" s="43"/>
      <c r="I491" s="43"/>
      <c r="J491" s="43"/>
      <c r="K491" s="43"/>
      <c r="L491" s="43"/>
      <c r="M491" s="43"/>
    </row>
    <row r="492" spans="1:13" ht="14.25" customHeight="1" x14ac:dyDescent="0.25">
      <c r="A492" s="43"/>
      <c r="B492" s="43"/>
      <c r="C492" s="43"/>
      <c r="D492" s="43"/>
      <c r="E492" s="43"/>
      <c r="F492" s="43"/>
      <c r="G492" s="43"/>
      <c r="H492" s="43"/>
      <c r="I492" s="43"/>
      <c r="J492" s="43"/>
      <c r="K492" s="43"/>
      <c r="L492" s="43"/>
      <c r="M492" s="43"/>
    </row>
    <row r="493" spans="1:13" ht="14.25" customHeight="1" x14ac:dyDescent="0.25">
      <c r="A493" s="43"/>
      <c r="B493" s="43"/>
      <c r="C493" s="43"/>
      <c r="D493" s="43"/>
      <c r="E493" s="43"/>
      <c r="F493" s="43"/>
      <c r="G493" s="43"/>
      <c r="H493" s="43"/>
      <c r="I493" s="43"/>
      <c r="J493" s="43"/>
      <c r="K493" s="43"/>
      <c r="L493" s="43"/>
      <c r="M493" s="43"/>
    </row>
    <row r="494" spans="1:13" ht="14.25" customHeight="1" x14ac:dyDescent="0.25">
      <c r="A494" s="43"/>
      <c r="B494" s="43"/>
      <c r="C494" s="43"/>
      <c r="D494" s="43"/>
      <c r="E494" s="43"/>
      <c r="F494" s="43"/>
      <c r="G494" s="43"/>
      <c r="H494" s="43"/>
      <c r="I494" s="43"/>
      <c r="J494" s="43"/>
      <c r="K494" s="43"/>
      <c r="L494" s="43"/>
      <c r="M494" s="43"/>
    </row>
    <row r="495" spans="1:13" ht="14.25" customHeight="1" x14ac:dyDescent="0.25">
      <c r="A495" s="43"/>
      <c r="B495" s="43"/>
      <c r="C495" s="43"/>
      <c r="D495" s="43"/>
      <c r="E495" s="43"/>
      <c r="F495" s="43"/>
      <c r="G495" s="43"/>
      <c r="H495" s="43"/>
      <c r="I495" s="43"/>
      <c r="J495" s="43"/>
      <c r="K495" s="43"/>
      <c r="L495" s="43"/>
      <c r="M495" s="43"/>
    </row>
    <row r="496" spans="1:13" ht="14.25" customHeight="1" x14ac:dyDescent="0.25">
      <c r="A496" s="43"/>
      <c r="B496" s="43"/>
      <c r="C496" s="43"/>
      <c r="D496" s="43"/>
      <c r="E496" s="43"/>
      <c r="F496" s="43"/>
      <c r="G496" s="43"/>
      <c r="H496" s="43"/>
      <c r="I496" s="43"/>
      <c r="J496" s="43"/>
      <c r="K496" s="43"/>
      <c r="L496" s="43"/>
      <c r="M496" s="43"/>
    </row>
    <row r="497" spans="1:13" ht="14.25" customHeight="1" x14ac:dyDescent="0.25">
      <c r="A497" s="43"/>
      <c r="B497" s="43"/>
      <c r="C497" s="43"/>
      <c r="D497" s="43"/>
      <c r="E497" s="43"/>
      <c r="F497" s="43"/>
      <c r="G497" s="43"/>
      <c r="H497" s="43"/>
      <c r="I497" s="43"/>
      <c r="J497" s="43"/>
      <c r="K497" s="43"/>
      <c r="L497" s="43"/>
      <c r="M497" s="43"/>
    </row>
    <row r="498" spans="1:13" ht="14.25" customHeight="1" x14ac:dyDescent="0.25">
      <c r="A498" s="43"/>
      <c r="B498" s="43"/>
      <c r="C498" s="43"/>
      <c r="D498" s="43"/>
      <c r="E498" s="43"/>
      <c r="F498" s="43"/>
      <c r="G498" s="43"/>
      <c r="H498" s="43"/>
      <c r="I498" s="43"/>
      <c r="J498" s="43"/>
      <c r="K498" s="43"/>
      <c r="L498" s="43"/>
      <c r="M498" s="43"/>
    </row>
    <row r="499" spans="1:13" ht="14.25" customHeight="1" x14ac:dyDescent="0.25">
      <c r="A499" s="43"/>
      <c r="B499" s="43"/>
      <c r="C499" s="43"/>
      <c r="D499" s="43"/>
      <c r="E499" s="43"/>
      <c r="F499" s="43"/>
      <c r="G499" s="43"/>
      <c r="H499" s="43"/>
      <c r="I499" s="43"/>
      <c r="J499" s="43"/>
      <c r="K499" s="43"/>
      <c r="L499" s="43"/>
      <c r="M499" s="43"/>
    </row>
    <row r="500" spans="1:13" ht="14.25" customHeight="1" x14ac:dyDescent="0.25">
      <c r="A500" s="43"/>
      <c r="B500" s="43"/>
      <c r="C500" s="43"/>
      <c r="D500" s="43"/>
      <c r="E500" s="43"/>
      <c r="F500" s="43"/>
      <c r="G500" s="43"/>
      <c r="H500" s="43"/>
      <c r="I500" s="43"/>
      <c r="J500" s="43"/>
      <c r="K500" s="43"/>
      <c r="L500" s="43"/>
      <c r="M500" s="43"/>
    </row>
    <row r="501" spans="1:13" ht="14.25" customHeight="1" x14ac:dyDescent="0.25">
      <c r="A501" s="43"/>
      <c r="B501" s="43"/>
      <c r="C501" s="43"/>
      <c r="D501" s="43"/>
      <c r="E501" s="43"/>
      <c r="F501" s="43"/>
      <c r="G501" s="43"/>
      <c r="H501" s="43"/>
      <c r="I501" s="43"/>
      <c r="J501" s="43"/>
      <c r="K501" s="43"/>
      <c r="L501" s="43"/>
      <c r="M501" s="43"/>
    </row>
    <row r="502" spans="1:13" ht="14.25" customHeight="1" x14ac:dyDescent="0.25">
      <c r="A502" s="43"/>
      <c r="B502" s="43"/>
      <c r="C502" s="43"/>
      <c r="D502" s="43"/>
      <c r="E502" s="43"/>
      <c r="F502" s="43"/>
      <c r="G502" s="43"/>
      <c r="H502" s="43"/>
      <c r="I502" s="43"/>
      <c r="J502" s="43"/>
      <c r="K502" s="43"/>
      <c r="L502" s="43"/>
      <c r="M502" s="43"/>
    </row>
    <row r="503" spans="1:13" ht="14.25" customHeight="1" x14ac:dyDescent="0.25">
      <c r="A503" s="43"/>
      <c r="B503" s="43"/>
      <c r="C503" s="43"/>
      <c r="D503" s="43"/>
      <c r="E503" s="43"/>
      <c r="F503" s="43"/>
      <c r="G503" s="43"/>
      <c r="H503" s="43"/>
      <c r="I503" s="43"/>
      <c r="J503" s="43"/>
      <c r="K503" s="43"/>
      <c r="L503" s="43"/>
      <c r="M503" s="43"/>
    </row>
    <row r="504" spans="1:13" ht="14.25" customHeight="1" x14ac:dyDescent="0.25">
      <c r="A504" s="43"/>
      <c r="B504" s="43"/>
      <c r="C504" s="43"/>
      <c r="D504" s="43"/>
      <c r="E504" s="43"/>
      <c r="F504" s="43"/>
      <c r="G504" s="43"/>
      <c r="H504" s="43"/>
      <c r="I504" s="43"/>
      <c r="J504" s="43"/>
      <c r="K504" s="43"/>
      <c r="L504" s="43"/>
      <c r="M504" s="43"/>
    </row>
    <row r="505" spans="1:13" ht="14.25" customHeight="1" x14ac:dyDescent="0.25">
      <c r="A505" s="43"/>
      <c r="B505" s="43"/>
      <c r="C505" s="43"/>
      <c r="D505" s="43"/>
      <c r="E505" s="43"/>
      <c r="F505" s="43"/>
      <c r="G505" s="43"/>
      <c r="H505" s="43"/>
      <c r="I505" s="43"/>
      <c r="J505" s="43"/>
      <c r="K505" s="43"/>
      <c r="L505" s="43"/>
      <c r="M505" s="43"/>
    </row>
    <row r="506" spans="1:13" ht="14.25" customHeight="1" x14ac:dyDescent="0.25">
      <c r="A506" s="43"/>
      <c r="B506" s="43"/>
      <c r="C506" s="43"/>
      <c r="D506" s="43"/>
      <c r="E506" s="43"/>
      <c r="F506" s="43"/>
      <c r="G506" s="43"/>
      <c r="H506" s="43"/>
      <c r="I506" s="43"/>
      <c r="J506" s="43"/>
      <c r="K506" s="43"/>
      <c r="L506" s="43"/>
      <c r="M506" s="43"/>
    </row>
    <row r="507" spans="1:13" ht="14.25" customHeight="1" x14ac:dyDescent="0.25">
      <c r="A507" s="43"/>
      <c r="B507" s="43"/>
      <c r="C507" s="43"/>
      <c r="D507" s="43"/>
      <c r="E507" s="43"/>
      <c r="F507" s="43"/>
      <c r="G507" s="43"/>
      <c r="H507" s="43"/>
      <c r="I507" s="43"/>
      <c r="J507" s="43"/>
      <c r="K507" s="43"/>
      <c r="L507" s="43"/>
      <c r="M507" s="43"/>
    </row>
    <row r="508" spans="1:13" ht="14.25" customHeight="1" x14ac:dyDescent="0.25">
      <c r="A508" s="43"/>
      <c r="B508" s="43"/>
      <c r="C508" s="43"/>
      <c r="D508" s="43"/>
      <c r="E508" s="43"/>
      <c r="F508" s="43"/>
      <c r="G508" s="43"/>
      <c r="H508" s="43"/>
      <c r="I508" s="43"/>
      <c r="J508" s="43"/>
      <c r="K508" s="43"/>
      <c r="L508" s="43"/>
      <c r="M508" s="43"/>
    </row>
    <row r="509" spans="1:13" ht="14.25" customHeight="1" x14ac:dyDescent="0.25">
      <c r="A509" s="43"/>
      <c r="B509" s="43"/>
      <c r="C509" s="43"/>
      <c r="D509" s="43"/>
      <c r="E509" s="43"/>
      <c r="F509" s="43"/>
      <c r="G509" s="43"/>
      <c r="H509" s="43"/>
      <c r="I509" s="43"/>
      <c r="J509" s="43"/>
      <c r="K509" s="43"/>
      <c r="L509" s="43"/>
      <c r="M509" s="43"/>
    </row>
    <row r="510" spans="1:13" ht="14.25" customHeight="1" x14ac:dyDescent="0.25">
      <c r="A510" s="43"/>
      <c r="B510" s="43"/>
      <c r="C510" s="43"/>
      <c r="D510" s="43"/>
      <c r="E510" s="43"/>
      <c r="F510" s="43"/>
      <c r="G510" s="43"/>
      <c r="H510" s="43"/>
      <c r="I510" s="43"/>
      <c r="J510" s="43"/>
      <c r="K510" s="43"/>
      <c r="L510" s="43"/>
      <c r="M510" s="43"/>
    </row>
    <row r="511" spans="1:13" ht="14.25" customHeight="1" x14ac:dyDescent="0.25">
      <c r="A511" s="43"/>
      <c r="B511" s="43"/>
      <c r="C511" s="43"/>
      <c r="D511" s="43"/>
      <c r="E511" s="43"/>
      <c r="F511" s="43"/>
      <c r="G511" s="43"/>
      <c r="H511" s="43"/>
      <c r="I511" s="43"/>
      <c r="J511" s="43"/>
      <c r="K511" s="43"/>
      <c r="L511" s="43"/>
      <c r="M511" s="43"/>
    </row>
    <row r="512" spans="1:13" ht="14.25" customHeight="1" x14ac:dyDescent="0.25">
      <c r="A512" s="43"/>
      <c r="B512" s="43"/>
      <c r="C512" s="43"/>
      <c r="D512" s="43"/>
      <c r="E512" s="43"/>
      <c r="F512" s="43"/>
      <c r="G512" s="43"/>
      <c r="H512" s="43"/>
      <c r="I512" s="43"/>
      <c r="J512" s="43"/>
      <c r="K512" s="43"/>
      <c r="L512" s="43"/>
      <c r="M512" s="43"/>
    </row>
    <row r="513" spans="1:13" ht="14.25" customHeight="1" x14ac:dyDescent="0.25">
      <c r="A513" s="43"/>
      <c r="B513" s="43"/>
      <c r="C513" s="43"/>
      <c r="D513" s="43"/>
      <c r="E513" s="43"/>
      <c r="F513" s="43"/>
      <c r="G513" s="43"/>
      <c r="H513" s="43"/>
      <c r="I513" s="43"/>
      <c r="J513" s="43"/>
      <c r="K513" s="43"/>
      <c r="L513" s="43"/>
      <c r="M513" s="43"/>
    </row>
    <row r="514" spans="1:13" ht="14.25" customHeight="1" x14ac:dyDescent="0.25">
      <c r="A514" s="43"/>
      <c r="B514" s="43"/>
      <c r="C514" s="43"/>
      <c r="D514" s="43"/>
      <c r="E514" s="43"/>
      <c r="F514" s="43"/>
      <c r="G514" s="43"/>
      <c r="H514" s="43"/>
      <c r="I514" s="43"/>
      <c r="J514" s="43"/>
      <c r="K514" s="43"/>
      <c r="L514" s="43"/>
      <c r="M514" s="43"/>
    </row>
    <row r="515" spans="1:13" ht="14.25" customHeight="1" x14ac:dyDescent="0.25">
      <c r="A515" s="43"/>
      <c r="B515" s="43"/>
      <c r="C515" s="43"/>
      <c r="D515" s="43"/>
      <c r="E515" s="43"/>
      <c r="F515" s="43"/>
      <c r="G515" s="43"/>
      <c r="H515" s="43"/>
      <c r="I515" s="43"/>
      <c r="J515" s="43"/>
      <c r="K515" s="43"/>
      <c r="L515" s="43"/>
      <c r="M515" s="43"/>
    </row>
    <row r="516" spans="1:13" ht="14.25" customHeight="1" x14ac:dyDescent="0.25">
      <c r="A516" s="43"/>
      <c r="B516" s="43"/>
      <c r="C516" s="43"/>
      <c r="D516" s="43"/>
      <c r="E516" s="43"/>
      <c r="F516" s="43"/>
      <c r="G516" s="43"/>
      <c r="H516" s="43"/>
      <c r="I516" s="43"/>
      <c r="J516" s="43"/>
      <c r="K516" s="43"/>
      <c r="L516" s="43"/>
      <c r="M516" s="43"/>
    </row>
    <row r="517" spans="1:13" ht="14.25" customHeight="1" x14ac:dyDescent="0.25">
      <c r="A517" s="43"/>
      <c r="B517" s="43"/>
      <c r="C517" s="43"/>
      <c r="D517" s="43"/>
      <c r="E517" s="43"/>
      <c r="F517" s="43"/>
      <c r="G517" s="43"/>
      <c r="H517" s="43"/>
      <c r="I517" s="43"/>
      <c r="J517" s="43"/>
      <c r="K517" s="43"/>
      <c r="L517" s="43"/>
      <c r="M517" s="43"/>
    </row>
    <row r="518" spans="1:13" ht="14.25" customHeight="1" x14ac:dyDescent="0.25">
      <c r="A518" s="43"/>
      <c r="B518" s="43"/>
      <c r="C518" s="43"/>
      <c r="D518" s="43"/>
      <c r="E518" s="43"/>
      <c r="F518" s="43"/>
      <c r="G518" s="43"/>
      <c r="H518" s="43"/>
      <c r="I518" s="43"/>
      <c r="J518" s="43"/>
      <c r="K518" s="43"/>
      <c r="L518" s="43"/>
      <c r="M518" s="43"/>
    </row>
    <row r="519" spans="1:13" ht="14.25" customHeight="1" x14ac:dyDescent="0.25">
      <c r="A519" s="43"/>
      <c r="B519" s="43"/>
      <c r="C519" s="43"/>
      <c r="D519" s="43"/>
      <c r="E519" s="43"/>
      <c r="F519" s="43"/>
      <c r="G519" s="43"/>
      <c r="H519" s="43"/>
      <c r="I519" s="43"/>
      <c r="J519" s="43"/>
      <c r="K519" s="43"/>
      <c r="L519" s="43"/>
      <c r="M519" s="43"/>
    </row>
    <row r="520" spans="1:13" ht="14.25" customHeight="1" x14ac:dyDescent="0.25">
      <c r="A520" s="43"/>
      <c r="B520" s="43"/>
      <c r="C520" s="43"/>
      <c r="D520" s="43"/>
      <c r="E520" s="43"/>
      <c r="F520" s="43"/>
      <c r="G520" s="43"/>
      <c r="H520" s="43"/>
      <c r="I520" s="43"/>
      <c r="J520" s="43"/>
      <c r="K520" s="43"/>
      <c r="L520" s="43"/>
      <c r="M520" s="43"/>
    </row>
    <row r="521" spans="1:13" ht="14.25" customHeight="1" x14ac:dyDescent="0.25">
      <c r="A521" s="43"/>
      <c r="B521" s="43"/>
      <c r="C521" s="43"/>
      <c r="D521" s="43"/>
      <c r="E521" s="43"/>
      <c r="F521" s="43"/>
      <c r="G521" s="43"/>
      <c r="H521" s="43"/>
      <c r="I521" s="43"/>
      <c r="J521" s="43"/>
      <c r="K521" s="43"/>
      <c r="L521" s="43"/>
      <c r="M521" s="43"/>
    </row>
    <row r="522" spans="1:13" ht="14.25" customHeight="1" x14ac:dyDescent="0.25">
      <c r="A522" s="43"/>
      <c r="B522" s="43"/>
      <c r="C522" s="43"/>
      <c r="D522" s="43"/>
      <c r="E522" s="43"/>
      <c r="F522" s="43"/>
      <c r="G522" s="43"/>
      <c r="H522" s="43"/>
      <c r="I522" s="43"/>
      <c r="J522" s="43"/>
      <c r="K522" s="43"/>
      <c r="L522" s="43"/>
      <c r="M522" s="43"/>
    </row>
    <row r="523" spans="1:13" ht="14.25" customHeight="1" x14ac:dyDescent="0.25">
      <c r="A523" s="43"/>
      <c r="B523" s="43"/>
      <c r="C523" s="43"/>
      <c r="D523" s="43"/>
      <c r="E523" s="43"/>
      <c r="F523" s="43"/>
      <c r="G523" s="43"/>
      <c r="H523" s="43"/>
      <c r="I523" s="43"/>
      <c r="J523" s="43"/>
      <c r="K523" s="43"/>
      <c r="L523" s="43"/>
      <c r="M523" s="43"/>
    </row>
    <row r="524" spans="1:13" ht="14.25" customHeight="1" x14ac:dyDescent="0.25">
      <c r="A524" s="43"/>
      <c r="B524" s="43"/>
      <c r="C524" s="43"/>
      <c r="D524" s="43"/>
      <c r="E524" s="43"/>
      <c r="F524" s="43"/>
      <c r="G524" s="43"/>
      <c r="H524" s="43"/>
      <c r="I524" s="43"/>
      <c r="J524" s="43"/>
      <c r="K524" s="43"/>
      <c r="L524" s="43"/>
      <c r="M524" s="43"/>
    </row>
    <row r="525" spans="1:13" ht="14.25" customHeight="1" x14ac:dyDescent="0.25">
      <c r="A525" s="43"/>
      <c r="B525" s="43"/>
      <c r="C525" s="43"/>
      <c r="D525" s="43"/>
      <c r="E525" s="43"/>
      <c r="F525" s="43"/>
      <c r="G525" s="43"/>
      <c r="H525" s="43"/>
      <c r="I525" s="43"/>
      <c r="J525" s="43"/>
      <c r="K525" s="43"/>
      <c r="L525" s="43"/>
      <c r="M525" s="43"/>
    </row>
    <row r="526" spans="1:13" ht="14.25" customHeight="1" x14ac:dyDescent="0.25">
      <c r="A526" s="43"/>
      <c r="B526" s="43"/>
      <c r="C526" s="43"/>
      <c r="D526" s="43"/>
      <c r="E526" s="43"/>
      <c r="F526" s="43"/>
      <c r="G526" s="43"/>
      <c r="H526" s="43"/>
      <c r="I526" s="43"/>
      <c r="J526" s="43"/>
      <c r="K526" s="43"/>
      <c r="L526" s="43"/>
      <c r="M526" s="43"/>
    </row>
    <row r="527" spans="1:13" ht="14.25" customHeight="1" x14ac:dyDescent="0.25">
      <c r="A527" s="43"/>
      <c r="B527" s="43"/>
      <c r="C527" s="43"/>
      <c r="D527" s="43"/>
      <c r="E527" s="43"/>
      <c r="F527" s="43"/>
      <c r="G527" s="43"/>
      <c r="H527" s="43"/>
      <c r="I527" s="43"/>
      <c r="J527" s="43"/>
      <c r="K527" s="43"/>
      <c r="L527" s="43"/>
      <c r="M527" s="43"/>
    </row>
    <row r="528" spans="1:13" ht="14.25" customHeight="1" x14ac:dyDescent="0.25">
      <c r="A528" s="43"/>
      <c r="B528" s="43"/>
      <c r="C528" s="43"/>
      <c r="D528" s="43"/>
      <c r="E528" s="43"/>
      <c r="F528" s="43"/>
      <c r="G528" s="43"/>
      <c r="H528" s="43"/>
      <c r="I528" s="43"/>
      <c r="J528" s="43"/>
      <c r="K528" s="43"/>
      <c r="L528" s="43"/>
      <c r="M528" s="43"/>
    </row>
    <row r="529" spans="1:13" ht="14.25" customHeight="1" x14ac:dyDescent="0.25">
      <c r="A529" s="43"/>
      <c r="B529" s="43"/>
      <c r="C529" s="43"/>
      <c r="D529" s="43"/>
      <c r="E529" s="43"/>
      <c r="F529" s="43"/>
      <c r="G529" s="43"/>
      <c r="H529" s="43"/>
      <c r="I529" s="43"/>
      <c r="J529" s="43"/>
      <c r="K529" s="43"/>
      <c r="L529" s="43"/>
      <c r="M529" s="43"/>
    </row>
    <row r="530" spans="1:13" ht="14.25" customHeight="1" x14ac:dyDescent="0.25">
      <c r="A530" s="43"/>
      <c r="B530" s="43"/>
      <c r="C530" s="43"/>
      <c r="D530" s="43"/>
      <c r="E530" s="43"/>
      <c r="F530" s="43"/>
      <c r="G530" s="43"/>
      <c r="H530" s="43"/>
      <c r="I530" s="43"/>
      <c r="J530" s="43"/>
      <c r="K530" s="43"/>
      <c r="L530" s="43"/>
      <c r="M530" s="43"/>
    </row>
    <row r="531" spans="1:13" ht="14.25" customHeight="1" x14ac:dyDescent="0.25">
      <c r="A531" s="43"/>
      <c r="B531" s="43"/>
      <c r="C531" s="43"/>
      <c r="D531" s="43"/>
      <c r="E531" s="43"/>
      <c r="F531" s="43"/>
      <c r="G531" s="43"/>
      <c r="H531" s="43"/>
      <c r="I531" s="43"/>
      <c r="J531" s="43"/>
      <c r="K531" s="43"/>
      <c r="L531" s="43"/>
      <c r="M531" s="43"/>
    </row>
    <row r="532" spans="1:13" ht="14.25" customHeight="1" x14ac:dyDescent="0.25">
      <c r="A532" s="43"/>
      <c r="B532" s="43"/>
      <c r="C532" s="43"/>
      <c r="D532" s="43"/>
      <c r="E532" s="43"/>
      <c r="F532" s="43"/>
      <c r="G532" s="43"/>
      <c r="H532" s="43"/>
      <c r="I532" s="43"/>
      <c r="J532" s="43"/>
      <c r="K532" s="43"/>
      <c r="L532" s="43"/>
      <c r="M532" s="43"/>
    </row>
    <row r="533" spans="1:13" ht="14.25" customHeight="1" x14ac:dyDescent="0.25">
      <c r="A533" s="43"/>
      <c r="B533" s="43"/>
      <c r="C533" s="43"/>
      <c r="D533" s="43"/>
      <c r="E533" s="43"/>
      <c r="F533" s="43"/>
      <c r="G533" s="43"/>
      <c r="H533" s="43"/>
      <c r="I533" s="43"/>
      <c r="J533" s="43"/>
      <c r="K533" s="43"/>
      <c r="L533" s="43"/>
      <c r="M533" s="43"/>
    </row>
    <row r="534" spans="1:13" ht="14.25" customHeight="1" x14ac:dyDescent="0.25">
      <c r="A534" s="43"/>
      <c r="B534" s="43"/>
      <c r="C534" s="43"/>
      <c r="D534" s="43"/>
      <c r="E534" s="43"/>
      <c r="F534" s="43"/>
      <c r="G534" s="43"/>
      <c r="H534" s="43"/>
      <c r="I534" s="43"/>
      <c r="J534" s="43"/>
      <c r="K534" s="43"/>
      <c r="L534" s="43"/>
      <c r="M534" s="43"/>
    </row>
    <row r="535" spans="1:13" ht="14.25" customHeight="1" x14ac:dyDescent="0.25">
      <c r="A535" s="43"/>
      <c r="B535" s="43"/>
      <c r="C535" s="43"/>
      <c r="D535" s="43"/>
      <c r="E535" s="43"/>
      <c r="F535" s="43"/>
      <c r="G535" s="43"/>
      <c r="H535" s="43"/>
      <c r="I535" s="43"/>
      <c r="J535" s="43"/>
      <c r="K535" s="43"/>
      <c r="L535" s="43"/>
      <c r="M535" s="43"/>
    </row>
    <row r="536" spans="1:13" ht="14.25" customHeight="1" x14ac:dyDescent="0.25">
      <c r="A536" s="43"/>
      <c r="B536" s="43"/>
      <c r="C536" s="43"/>
      <c r="D536" s="43"/>
      <c r="E536" s="43"/>
      <c r="F536" s="43"/>
      <c r="G536" s="43"/>
      <c r="H536" s="43"/>
      <c r="I536" s="43"/>
      <c r="J536" s="43"/>
      <c r="K536" s="43"/>
      <c r="L536" s="43"/>
      <c r="M536" s="43"/>
    </row>
    <row r="537" spans="1:13" ht="14.25" customHeight="1" x14ac:dyDescent="0.25">
      <c r="A537" s="43"/>
      <c r="B537" s="43"/>
      <c r="C537" s="43"/>
      <c r="D537" s="43"/>
      <c r="E537" s="43"/>
      <c r="F537" s="43"/>
      <c r="G537" s="43"/>
      <c r="H537" s="43"/>
      <c r="I537" s="43"/>
      <c r="J537" s="43"/>
      <c r="K537" s="43"/>
      <c r="L537" s="43"/>
      <c r="M537" s="43"/>
    </row>
    <row r="538" spans="1:13" ht="14.25" customHeight="1" x14ac:dyDescent="0.25">
      <c r="A538" s="43"/>
      <c r="B538" s="43"/>
      <c r="C538" s="43"/>
      <c r="D538" s="43"/>
      <c r="E538" s="43"/>
      <c r="F538" s="43"/>
      <c r="G538" s="43"/>
      <c r="H538" s="43"/>
      <c r="I538" s="43"/>
      <c r="J538" s="43"/>
      <c r="K538" s="43"/>
      <c r="L538" s="43"/>
      <c r="M538" s="43"/>
    </row>
    <row r="539" spans="1:13" ht="14.25" customHeight="1" x14ac:dyDescent="0.25">
      <c r="A539" s="43"/>
      <c r="B539" s="43"/>
      <c r="C539" s="43"/>
      <c r="D539" s="43"/>
      <c r="E539" s="43"/>
      <c r="F539" s="43"/>
      <c r="G539" s="43"/>
      <c r="H539" s="43"/>
      <c r="I539" s="43"/>
      <c r="J539" s="43"/>
      <c r="K539" s="43"/>
      <c r="L539" s="43"/>
      <c r="M539" s="43"/>
    </row>
    <row r="540" spans="1:13" ht="14.25" customHeight="1" x14ac:dyDescent="0.25">
      <c r="A540" s="43"/>
      <c r="B540" s="43"/>
      <c r="C540" s="43"/>
      <c r="D540" s="43"/>
      <c r="E540" s="43"/>
      <c r="F540" s="43"/>
      <c r="G540" s="43"/>
      <c r="H540" s="43"/>
      <c r="I540" s="43"/>
      <c r="J540" s="43"/>
      <c r="K540" s="43"/>
      <c r="L540" s="43"/>
      <c r="M540" s="43"/>
    </row>
    <row r="541" spans="1:13" ht="14.25" customHeight="1" x14ac:dyDescent="0.25">
      <c r="A541" s="43"/>
      <c r="B541" s="43"/>
      <c r="C541" s="43"/>
      <c r="D541" s="43"/>
      <c r="E541" s="43"/>
      <c r="F541" s="43"/>
      <c r="G541" s="43"/>
      <c r="H541" s="43"/>
      <c r="I541" s="43"/>
      <c r="J541" s="43"/>
      <c r="K541" s="43"/>
      <c r="L541" s="43"/>
      <c r="M541" s="43"/>
    </row>
    <row r="542" spans="1:13" ht="14.25" customHeight="1" x14ac:dyDescent="0.25">
      <c r="A542" s="43"/>
      <c r="B542" s="43"/>
      <c r="C542" s="43"/>
      <c r="D542" s="43"/>
      <c r="E542" s="43"/>
      <c r="F542" s="43"/>
      <c r="G542" s="43"/>
      <c r="H542" s="43"/>
      <c r="I542" s="43"/>
      <c r="J542" s="43"/>
      <c r="K542" s="43"/>
      <c r="L542" s="43"/>
      <c r="M542" s="43"/>
    </row>
    <row r="543" spans="1:13" ht="14.25" customHeight="1" x14ac:dyDescent="0.25">
      <c r="A543" s="43"/>
      <c r="B543" s="43"/>
      <c r="C543" s="43"/>
      <c r="D543" s="43"/>
      <c r="E543" s="43"/>
      <c r="F543" s="43"/>
      <c r="G543" s="43"/>
      <c r="H543" s="43"/>
      <c r="I543" s="43"/>
      <c r="J543" s="43"/>
      <c r="K543" s="43"/>
      <c r="L543" s="43"/>
      <c r="M543" s="43"/>
    </row>
    <row r="544" spans="1:13" ht="14.25" customHeight="1" x14ac:dyDescent="0.25">
      <c r="A544" s="43"/>
      <c r="B544" s="43"/>
      <c r="C544" s="43"/>
      <c r="D544" s="43"/>
      <c r="E544" s="43"/>
      <c r="F544" s="43"/>
      <c r="G544" s="43"/>
      <c r="H544" s="43"/>
      <c r="I544" s="43"/>
      <c r="J544" s="43"/>
      <c r="K544" s="43"/>
      <c r="L544" s="43"/>
      <c r="M544" s="43"/>
    </row>
    <row r="545" spans="1:13" ht="14.25" customHeight="1" x14ac:dyDescent="0.25">
      <c r="A545" s="43"/>
      <c r="B545" s="43"/>
      <c r="C545" s="43"/>
      <c r="D545" s="43"/>
      <c r="E545" s="43"/>
      <c r="F545" s="43"/>
      <c r="G545" s="43"/>
      <c r="H545" s="43"/>
      <c r="I545" s="43"/>
      <c r="J545" s="43"/>
      <c r="K545" s="43"/>
      <c r="L545" s="43"/>
      <c r="M545" s="43"/>
    </row>
    <row r="546" spans="1:13" ht="14.25" customHeight="1" x14ac:dyDescent="0.25">
      <c r="A546" s="43"/>
      <c r="B546" s="43"/>
      <c r="C546" s="43"/>
      <c r="D546" s="43"/>
      <c r="E546" s="43"/>
      <c r="F546" s="43"/>
      <c r="G546" s="43"/>
      <c r="H546" s="43"/>
      <c r="I546" s="43"/>
      <c r="J546" s="43"/>
      <c r="K546" s="43"/>
      <c r="L546" s="43"/>
      <c r="M546" s="43"/>
    </row>
    <row r="547" spans="1:13" ht="14.25" customHeight="1" x14ac:dyDescent="0.25">
      <c r="A547" s="43"/>
      <c r="B547" s="43"/>
      <c r="C547" s="43"/>
      <c r="D547" s="43"/>
      <c r="E547" s="43"/>
      <c r="F547" s="43"/>
      <c r="G547" s="43"/>
      <c r="H547" s="43"/>
      <c r="I547" s="43"/>
      <c r="J547" s="43"/>
      <c r="K547" s="43"/>
      <c r="L547" s="43"/>
      <c r="M547" s="43"/>
    </row>
    <row r="548" spans="1:13" ht="14.25" customHeight="1" x14ac:dyDescent="0.25">
      <c r="A548" s="43"/>
      <c r="B548" s="43"/>
      <c r="C548" s="43"/>
      <c r="D548" s="43"/>
      <c r="E548" s="43"/>
      <c r="F548" s="43"/>
      <c r="G548" s="43"/>
      <c r="H548" s="43"/>
      <c r="I548" s="43"/>
      <c r="J548" s="43"/>
      <c r="K548" s="43"/>
      <c r="L548" s="43"/>
      <c r="M548" s="43"/>
    </row>
    <row r="549" spans="1:13" ht="14.25" customHeight="1" x14ac:dyDescent="0.25">
      <c r="A549" s="43"/>
      <c r="B549" s="43"/>
      <c r="C549" s="43"/>
      <c r="D549" s="43"/>
      <c r="E549" s="43"/>
      <c r="F549" s="43"/>
      <c r="G549" s="43"/>
      <c r="H549" s="43"/>
      <c r="I549" s="43"/>
      <c r="J549" s="43"/>
      <c r="K549" s="43"/>
      <c r="L549" s="43"/>
      <c r="M549" s="43"/>
    </row>
    <row r="550" spans="1:13" ht="14.25" customHeight="1" x14ac:dyDescent="0.25">
      <c r="A550" s="43"/>
      <c r="B550" s="43"/>
      <c r="C550" s="43"/>
      <c r="D550" s="43"/>
      <c r="E550" s="43"/>
      <c r="F550" s="43"/>
      <c r="G550" s="43"/>
      <c r="H550" s="43"/>
      <c r="I550" s="43"/>
      <c r="J550" s="43"/>
      <c r="K550" s="43"/>
      <c r="L550" s="43"/>
      <c r="M550" s="43"/>
    </row>
    <row r="551" spans="1:13" ht="14.25" customHeight="1" x14ac:dyDescent="0.25">
      <c r="A551" s="43"/>
      <c r="B551" s="43"/>
      <c r="C551" s="43"/>
      <c r="D551" s="43"/>
      <c r="E551" s="43"/>
      <c r="F551" s="43"/>
      <c r="G551" s="43"/>
      <c r="H551" s="43"/>
      <c r="I551" s="43"/>
      <c r="J551" s="43"/>
      <c r="K551" s="43"/>
      <c r="L551" s="43"/>
      <c r="M551" s="43"/>
    </row>
    <row r="552" spans="1:13" ht="14.25" customHeight="1" x14ac:dyDescent="0.25">
      <c r="A552" s="43"/>
      <c r="B552" s="43"/>
      <c r="C552" s="43"/>
      <c r="D552" s="43"/>
      <c r="E552" s="43"/>
      <c r="F552" s="43"/>
      <c r="G552" s="43"/>
      <c r="H552" s="43"/>
      <c r="I552" s="43"/>
      <c r="J552" s="43"/>
      <c r="K552" s="43"/>
      <c r="L552" s="43"/>
      <c r="M552" s="43"/>
    </row>
    <row r="553" spans="1:13" ht="14.25" customHeight="1" x14ac:dyDescent="0.25">
      <c r="A553" s="43"/>
      <c r="B553" s="43"/>
      <c r="C553" s="43"/>
      <c r="D553" s="43"/>
      <c r="E553" s="43"/>
      <c r="F553" s="43"/>
      <c r="G553" s="43"/>
      <c r="H553" s="43"/>
      <c r="I553" s="43"/>
      <c r="J553" s="43"/>
      <c r="K553" s="43"/>
      <c r="L553" s="43"/>
      <c r="M553" s="43"/>
    </row>
    <row r="554" spans="1:13" ht="14.25" customHeight="1" x14ac:dyDescent="0.25">
      <c r="A554" s="43"/>
      <c r="B554" s="43"/>
      <c r="C554" s="43"/>
      <c r="D554" s="43"/>
      <c r="E554" s="43"/>
      <c r="F554" s="43"/>
      <c r="G554" s="43"/>
      <c r="H554" s="43"/>
      <c r="I554" s="43"/>
      <c r="J554" s="43"/>
      <c r="K554" s="43"/>
      <c r="L554" s="43"/>
      <c r="M554" s="43"/>
    </row>
    <row r="555" spans="1:13" ht="14.25" customHeight="1" x14ac:dyDescent="0.25">
      <c r="A555" s="43"/>
      <c r="B555" s="43"/>
      <c r="C555" s="43"/>
      <c r="D555" s="43"/>
      <c r="E555" s="43"/>
      <c r="F555" s="43"/>
      <c r="G555" s="43"/>
      <c r="H555" s="43"/>
      <c r="I555" s="43"/>
      <c r="J555" s="43"/>
      <c r="K555" s="43"/>
      <c r="L555" s="43"/>
      <c r="M555" s="43"/>
    </row>
    <row r="556" spans="1:13" ht="14.25" customHeight="1" x14ac:dyDescent="0.25">
      <c r="A556" s="43"/>
      <c r="B556" s="43"/>
      <c r="C556" s="43"/>
      <c r="D556" s="43"/>
      <c r="E556" s="43"/>
      <c r="F556" s="43"/>
      <c r="G556" s="43"/>
      <c r="H556" s="43"/>
      <c r="I556" s="43"/>
      <c r="J556" s="43"/>
      <c r="K556" s="43"/>
      <c r="L556" s="43"/>
      <c r="M556" s="43"/>
    </row>
    <row r="557" spans="1:13" ht="14.25" customHeight="1" x14ac:dyDescent="0.25">
      <c r="A557" s="43"/>
      <c r="B557" s="43"/>
      <c r="C557" s="43"/>
      <c r="D557" s="43"/>
      <c r="E557" s="43"/>
      <c r="F557" s="43"/>
      <c r="G557" s="43"/>
      <c r="H557" s="43"/>
      <c r="I557" s="43"/>
      <c r="J557" s="43"/>
      <c r="K557" s="43"/>
      <c r="L557" s="43"/>
      <c r="M557" s="43"/>
    </row>
    <row r="558" spans="1:13" ht="14.25" customHeight="1" x14ac:dyDescent="0.25">
      <c r="A558" s="43"/>
      <c r="B558" s="43"/>
      <c r="C558" s="43"/>
      <c r="D558" s="43"/>
      <c r="E558" s="43"/>
      <c r="F558" s="43"/>
      <c r="G558" s="43"/>
      <c r="H558" s="43"/>
      <c r="I558" s="43"/>
      <c r="J558" s="43"/>
      <c r="K558" s="43"/>
      <c r="L558" s="43"/>
      <c r="M558" s="43"/>
    </row>
    <row r="559" spans="1:13" ht="14.25" customHeight="1" x14ac:dyDescent="0.25">
      <c r="A559" s="43"/>
      <c r="B559" s="43"/>
      <c r="C559" s="43"/>
      <c r="D559" s="43"/>
      <c r="E559" s="43"/>
      <c r="F559" s="43"/>
      <c r="G559" s="43"/>
      <c r="H559" s="43"/>
      <c r="I559" s="43"/>
      <c r="J559" s="43"/>
      <c r="K559" s="43"/>
      <c r="L559" s="43"/>
      <c r="M559" s="43"/>
    </row>
    <row r="560" spans="1:13" ht="14.25" customHeight="1" x14ac:dyDescent="0.25">
      <c r="A560" s="43"/>
      <c r="B560" s="43"/>
      <c r="C560" s="43"/>
      <c r="D560" s="43"/>
      <c r="E560" s="43"/>
      <c r="F560" s="43"/>
      <c r="G560" s="43"/>
      <c r="H560" s="43"/>
      <c r="I560" s="43"/>
      <c r="J560" s="43"/>
      <c r="K560" s="43"/>
      <c r="L560" s="43"/>
      <c r="M560" s="43"/>
    </row>
    <row r="561" spans="1:13" ht="14.25" customHeight="1" x14ac:dyDescent="0.25">
      <c r="A561" s="43"/>
      <c r="B561" s="43"/>
      <c r="C561" s="43"/>
      <c r="D561" s="43"/>
      <c r="E561" s="43"/>
      <c r="F561" s="43"/>
      <c r="G561" s="43"/>
      <c r="H561" s="43"/>
      <c r="I561" s="43"/>
      <c r="J561" s="43"/>
      <c r="K561" s="43"/>
      <c r="L561" s="43"/>
      <c r="M561" s="43"/>
    </row>
    <row r="562" spans="1:13" ht="14.25" customHeight="1" x14ac:dyDescent="0.25">
      <c r="A562" s="43"/>
      <c r="B562" s="43"/>
      <c r="C562" s="43"/>
      <c r="D562" s="43"/>
      <c r="E562" s="43"/>
      <c r="F562" s="43"/>
      <c r="G562" s="43"/>
      <c r="H562" s="43"/>
      <c r="I562" s="43"/>
      <c r="J562" s="43"/>
      <c r="K562" s="43"/>
      <c r="L562" s="43"/>
      <c r="M562" s="43"/>
    </row>
    <row r="563" spans="1:13" ht="14.25" customHeight="1" x14ac:dyDescent="0.25">
      <c r="A563" s="43"/>
      <c r="B563" s="43"/>
      <c r="C563" s="43"/>
      <c r="D563" s="43"/>
      <c r="E563" s="43"/>
      <c r="F563" s="43"/>
      <c r="G563" s="43"/>
      <c r="H563" s="43"/>
      <c r="I563" s="43"/>
      <c r="J563" s="43"/>
      <c r="K563" s="43"/>
      <c r="L563" s="43"/>
      <c r="M563" s="43"/>
    </row>
    <row r="564" spans="1:13" ht="14.25" customHeight="1" x14ac:dyDescent="0.25">
      <c r="A564" s="43"/>
      <c r="B564" s="43"/>
      <c r="C564" s="43"/>
      <c r="D564" s="43"/>
      <c r="E564" s="43"/>
      <c r="F564" s="43"/>
      <c r="G564" s="43"/>
      <c r="H564" s="43"/>
      <c r="I564" s="43"/>
      <c r="J564" s="43"/>
      <c r="K564" s="43"/>
      <c r="L564" s="43"/>
      <c r="M564" s="43"/>
    </row>
    <row r="565" spans="1:13" ht="14.25" customHeight="1" x14ac:dyDescent="0.25">
      <c r="A565" s="43"/>
      <c r="B565" s="43"/>
      <c r="C565" s="43"/>
      <c r="D565" s="43"/>
      <c r="E565" s="43"/>
      <c r="F565" s="43"/>
      <c r="G565" s="43"/>
      <c r="H565" s="43"/>
      <c r="I565" s="43"/>
      <c r="J565" s="43"/>
      <c r="K565" s="43"/>
      <c r="L565" s="43"/>
      <c r="M565" s="43"/>
    </row>
    <row r="566" spans="1:13" ht="14.25" customHeight="1" x14ac:dyDescent="0.25">
      <c r="A566" s="43"/>
      <c r="B566" s="43"/>
      <c r="C566" s="43"/>
      <c r="D566" s="43"/>
      <c r="E566" s="43"/>
      <c r="F566" s="43"/>
      <c r="G566" s="43"/>
      <c r="H566" s="43"/>
      <c r="I566" s="43"/>
      <c r="J566" s="43"/>
      <c r="K566" s="43"/>
      <c r="L566" s="43"/>
      <c r="M566" s="43"/>
    </row>
    <row r="567" spans="1:13" ht="14.25" customHeight="1" x14ac:dyDescent="0.25">
      <c r="A567" s="43"/>
      <c r="B567" s="43"/>
      <c r="C567" s="43"/>
      <c r="D567" s="43"/>
      <c r="E567" s="43"/>
      <c r="F567" s="43"/>
      <c r="G567" s="43"/>
      <c r="H567" s="43"/>
      <c r="I567" s="43"/>
      <c r="J567" s="43"/>
      <c r="K567" s="43"/>
      <c r="L567" s="43"/>
      <c r="M567" s="43"/>
    </row>
    <row r="568" spans="1:13" ht="14.25" customHeight="1" x14ac:dyDescent="0.25">
      <c r="A568" s="43"/>
      <c r="B568" s="43"/>
      <c r="C568" s="43"/>
      <c r="D568" s="43"/>
      <c r="E568" s="43"/>
      <c r="F568" s="43"/>
      <c r="G568" s="43"/>
      <c r="H568" s="43"/>
      <c r="I568" s="43"/>
      <c r="J568" s="43"/>
      <c r="K568" s="43"/>
      <c r="L568" s="43"/>
      <c r="M568" s="43"/>
    </row>
    <row r="569" spans="1:13" ht="14.25" customHeight="1" x14ac:dyDescent="0.25">
      <c r="A569" s="43"/>
      <c r="B569" s="43"/>
      <c r="C569" s="43"/>
      <c r="D569" s="43"/>
      <c r="E569" s="43"/>
      <c r="F569" s="43"/>
      <c r="G569" s="43"/>
      <c r="H569" s="43"/>
      <c r="I569" s="43"/>
      <c r="J569" s="43"/>
      <c r="K569" s="43"/>
      <c r="L569" s="43"/>
      <c r="M569" s="43"/>
    </row>
    <row r="570" spans="1:13" ht="14.25" customHeight="1" x14ac:dyDescent="0.25">
      <c r="A570" s="43"/>
      <c r="B570" s="43"/>
      <c r="C570" s="43"/>
      <c r="D570" s="43"/>
      <c r="E570" s="43"/>
      <c r="F570" s="43"/>
      <c r="G570" s="43"/>
      <c r="H570" s="43"/>
      <c r="I570" s="43"/>
      <c r="J570" s="43"/>
      <c r="K570" s="43"/>
      <c r="L570" s="43"/>
      <c r="M570" s="43"/>
    </row>
    <row r="571" spans="1:13" ht="14.25" customHeight="1" x14ac:dyDescent="0.25">
      <c r="A571" s="43"/>
      <c r="B571" s="43"/>
      <c r="C571" s="43"/>
      <c r="D571" s="43"/>
      <c r="E571" s="43"/>
      <c r="F571" s="43"/>
      <c r="G571" s="43"/>
      <c r="H571" s="43"/>
      <c r="I571" s="43"/>
      <c r="J571" s="43"/>
      <c r="K571" s="43"/>
      <c r="L571" s="43"/>
      <c r="M571" s="43"/>
    </row>
    <row r="572" spans="1:13" ht="14.25" customHeight="1" x14ac:dyDescent="0.25">
      <c r="A572" s="43"/>
      <c r="B572" s="43"/>
      <c r="C572" s="43"/>
      <c r="D572" s="43"/>
      <c r="E572" s="43"/>
      <c r="F572" s="43"/>
      <c r="G572" s="43"/>
      <c r="H572" s="43"/>
      <c r="I572" s="43"/>
      <c r="J572" s="43"/>
      <c r="K572" s="43"/>
      <c r="L572" s="43"/>
      <c r="M572" s="43"/>
    </row>
    <row r="573" spans="1:13" ht="14.25" customHeight="1" x14ac:dyDescent="0.25">
      <c r="A573" s="43"/>
      <c r="B573" s="43"/>
      <c r="C573" s="43"/>
      <c r="D573" s="43"/>
      <c r="E573" s="43"/>
      <c r="F573" s="43"/>
      <c r="G573" s="43"/>
      <c r="H573" s="43"/>
      <c r="I573" s="43"/>
      <c r="J573" s="43"/>
      <c r="K573" s="43"/>
      <c r="L573" s="43"/>
      <c r="M573" s="43"/>
    </row>
    <row r="574" spans="1:13" ht="14.25" customHeight="1" x14ac:dyDescent="0.25">
      <c r="A574" s="43"/>
      <c r="B574" s="43"/>
      <c r="C574" s="43"/>
      <c r="D574" s="43"/>
      <c r="E574" s="43"/>
      <c r="F574" s="43"/>
      <c r="G574" s="43"/>
      <c r="H574" s="43"/>
      <c r="I574" s="43"/>
      <c r="J574" s="43"/>
      <c r="K574" s="43"/>
      <c r="L574" s="43"/>
      <c r="M574" s="43"/>
    </row>
    <row r="575" spans="1:13" ht="14.25" customHeight="1" x14ac:dyDescent="0.25">
      <c r="A575" s="43"/>
      <c r="B575" s="43"/>
      <c r="C575" s="43"/>
      <c r="D575" s="43"/>
      <c r="E575" s="43"/>
      <c r="F575" s="43"/>
      <c r="G575" s="43"/>
      <c r="H575" s="43"/>
      <c r="I575" s="43"/>
      <c r="J575" s="43"/>
      <c r="K575" s="43"/>
      <c r="L575" s="43"/>
      <c r="M575" s="43"/>
    </row>
    <row r="576" spans="1:13" ht="14.25" customHeight="1" x14ac:dyDescent="0.25">
      <c r="A576" s="43"/>
      <c r="B576" s="43"/>
      <c r="C576" s="43"/>
      <c r="D576" s="43"/>
      <c r="E576" s="43"/>
      <c r="F576" s="43"/>
      <c r="G576" s="43"/>
      <c r="H576" s="43"/>
      <c r="I576" s="43"/>
      <c r="J576" s="43"/>
      <c r="K576" s="43"/>
      <c r="L576" s="43"/>
      <c r="M576" s="43"/>
    </row>
    <row r="577" spans="1:13" ht="14.25" customHeight="1" x14ac:dyDescent="0.25">
      <c r="A577" s="43"/>
      <c r="B577" s="43"/>
      <c r="C577" s="43"/>
      <c r="D577" s="43"/>
      <c r="E577" s="43"/>
      <c r="F577" s="43"/>
      <c r="G577" s="43"/>
      <c r="H577" s="43"/>
      <c r="I577" s="43"/>
      <c r="J577" s="43"/>
      <c r="K577" s="43"/>
      <c r="L577" s="43"/>
      <c r="M577" s="43"/>
    </row>
    <row r="578" spans="1:13" ht="14.25" customHeight="1" x14ac:dyDescent="0.25">
      <c r="A578" s="43"/>
      <c r="B578" s="43"/>
      <c r="C578" s="43"/>
      <c r="D578" s="43"/>
      <c r="E578" s="43"/>
      <c r="F578" s="43"/>
      <c r="G578" s="43"/>
      <c r="H578" s="43"/>
      <c r="I578" s="43"/>
      <c r="J578" s="43"/>
      <c r="K578" s="43"/>
      <c r="L578" s="43"/>
      <c r="M578" s="43"/>
    </row>
    <row r="579" spans="1:13" ht="14.25" customHeight="1" x14ac:dyDescent="0.25">
      <c r="A579" s="43"/>
      <c r="B579" s="43"/>
      <c r="C579" s="43"/>
      <c r="D579" s="43"/>
      <c r="E579" s="43"/>
      <c r="F579" s="43"/>
      <c r="G579" s="43"/>
      <c r="H579" s="43"/>
      <c r="I579" s="43"/>
      <c r="J579" s="43"/>
      <c r="K579" s="43"/>
      <c r="L579" s="43"/>
      <c r="M579" s="43"/>
    </row>
    <row r="580" spans="1:13" ht="14.25" customHeight="1" x14ac:dyDescent="0.25">
      <c r="A580" s="43"/>
      <c r="B580" s="43"/>
      <c r="C580" s="43"/>
      <c r="D580" s="43"/>
      <c r="E580" s="43"/>
      <c r="F580" s="43"/>
      <c r="G580" s="43"/>
      <c r="H580" s="43"/>
      <c r="I580" s="43"/>
      <c r="J580" s="43"/>
      <c r="K580" s="43"/>
      <c r="L580" s="43"/>
      <c r="M580" s="43"/>
    </row>
    <row r="581" spans="1:13" ht="14.25" customHeight="1" x14ac:dyDescent="0.25">
      <c r="A581" s="43"/>
      <c r="B581" s="43"/>
      <c r="C581" s="43"/>
      <c r="D581" s="43"/>
      <c r="E581" s="43"/>
      <c r="F581" s="43"/>
      <c r="G581" s="43"/>
      <c r="H581" s="43"/>
      <c r="I581" s="43"/>
      <c r="J581" s="43"/>
      <c r="K581" s="43"/>
      <c r="L581" s="43"/>
      <c r="M581" s="43"/>
    </row>
    <row r="582" spans="1:13" ht="14.25" customHeight="1" x14ac:dyDescent="0.25">
      <c r="A582" s="43"/>
      <c r="B582" s="43"/>
      <c r="C582" s="43"/>
      <c r="D582" s="43"/>
      <c r="E582" s="43"/>
      <c r="F582" s="43"/>
      <c r="G582" s="43"/>
      <c r="H582" s="43"/>
      <c r="I582" s="43"/>
      <c r="J582" s="43"/>
      <c r="K582" s="43"/>
      <c r="L582" s="43"/>
      <c r="M582" s="43"/>
    </row>
    <row r="583" spans="1:13" ht="14.25" customHeight="1" x14ac:dyDescent="0.25">
      <c r="A583" s="43"/>
      <c r="B583" s="43"/>
      <c r="C583" s="43"/>
      <c r="D583" s="43"/>
      <c r="E583" s="43"/>
      <c r="F583" s="43"/>
      <c r="G583" s="43"/>
      <c r="H583" s="43"/>
      <c r="I583" s="43"/>
      <c r="J583" s="43"/>
      <c r="K583" s="43"/>
      <c r="L583" s="43"/>
      <c r="M583" s="43"/>
    </row>
    <row r="584" spans="1:13" ht="14.25" customHeight="1" x14ac:dyDescent="0.25">
      <c r="A584" s="43"/>
      <c r="B584" s="43"/>
      <c r="C584" s="43"/>
      <c r="D584" s="43"/>
      <c r="E584" s="43"/>
      <c r="F584" s="43"/>
      <c r="G584" s="43"/>
      <c r="H584" s="43"/>
      <c r="I584" s="43"/>
      <c r="J584" s="43"/>
      <c r="K584" s="43"/>
      <c r="L584" s="43"/>
      <c r="M584" s="43"/>
    </row>
    <row r="585" spans="1:13" ht="14.25" customHeight="1" x14ac:dyDescent="0.25">
      <c r="A585" s="43"/>
      <c r="B585" s="43"/>
      <c r="C585" s="43"/>
      <c r="D585" s="43"/>
      <c r="E585" s="43"/>
      <c r="F585" s="43"/>
      <c r="G585" s="43"/>
      <c r="H585" s="43"/>
      <c r="I585" s="43"/>
      <c r="J585" s="43"/>
      <c r="K585" s="43"/>
      <c r="L585" s="43"/>
      <c r="M585" s="43"/>
    </row>
    <row r="586" spans="1:13" ht="14.25" customHeight="1" x14ac:dyDescent="0.25">
      <c r="A586" s="43"/>
      <c r="B586" s="43"/>
      <c r="C586" s="43"/>
      <c r="D586" s="43"/>
      <c r="E586" s="43"/>
      <c r="F586" s="43"/>
      <c r="G586" s="43"/>
      <c r="H586" s="43"/>
      <c r="I586" s="43"/>
      <c r="J586" s="43"/>
      <c r="K586" s="43"/>
      <c r="L586" s="43"/>
      <c r="M586" s="43"/>
    </row>
    <row r="587" spans="1:13" ht="14.25" customHeight="1" x14ac:dyDescent="0.25">
      <c r="A587" s="43"/>
      <c r="B587" s="43"/>
      <c r="C587" s="43"/>
      <c r="D587" s="43"/>
      <c r="E587" s="43"/>
      <c r="F587" s="43"/>
      <c r="G587" s="43"/>
      <c r="H587" s="43"/>
      <c r="I587" s="43"/>
      <c r="J587" s="43"/>
      <c r="K587" s="43"/>
      <c r="L587" s="43"/>
      <c r="M587" s="43"/>
    </row>
    <row r="588" spans="1:13" ht="14.25" customHeight="1" x14ac:dyDescent="0.25">
      <c r="A588" s="43"/>
      <c r="B588" s="43"/>
      <c r="C588" s="43"/>
      <c r="D588" s="43"/>
      <c r="E588" s="43"/>
      <c r="F588" s="43"/>
      <c r="G588" s="43"/>
      <c r="H588" s="43"/>
      <c r="I588" s="43"/>
      <c r="J588" s="43"/>
      <c r="K588" s="43"/>
      <c r="L588" s="43"/>
      <c r="M588" s="43"/>
    </row>
    <row r="589" spans="1:13" ht="14.25" customHeight="1" x14ac:dyDescent="0.25">
      <c r="A589" s="43"/>
      <c r="B589" s="43"/>
      <c r="C589" s="43"/>
      <c r="D589" s="43"/>
      <c r="E589" s="43"/>
      <c r="F589" s="43"/>
      <c r="G589" s="43"/>
      <c r="H589" s="43"/>
      <c r="I589" s="43"/>
      <c r="J589" s="43"/>
      <c r="K589" s="43"/>
      <c r="L589" s="43"/>
      <c r="M589" s="43"/>
    </row>
    <row r="590" spans="1:13" ht="14.25" customHeight="1" x14ac:dyDescent="0.25">
      <c r="A590" s="43"/>
      <c r="B590" s="43"/>
      <c r="C590" s="43"/>
      <c r="D590" s="43"/>
      <c r="E590" s="43"/>
      <c r="F590" s="43"/>
      <c r="G590" s="43"/>
      <c r="H590" s="43"/>
      <c r="I590" s="43"/>
      <c r="J590" s="43"/>
      <c r="K590" s="43"/>
      <c r="L590" s="43"/>
      <c r="M590" s="43"/>
    </row>
    <row r="591" spans="1:13" ht="14.25" customHeight="1" x14ac:dyDescent="0.25">
      <c r="A591" s="43"/>
      <c r="B591" s="43"/>
      <c r="C591" s="43"/>
      <c r="D591" s="43"/>
      <c r="E591" s="43"/>
      <c r="F591" s="43"/>
      <c r="G591" s="43"/>
      <c r="H591" s="43"/>
      <c r="I591" s="43"/>
      <c r="J591" s="43"/>
      <c r="K591" s="43"/>
      <c r="L591" s="43"/>
      <c r="M591" s="43"/>
    </row>
    <row r="592" spans="1:13" ht="14.25" customHeight="1" x14ac:dyDescent="0.25">
      <c r="A592" s="43"/>
      <c r="B592" s="43"/>
      <c r="C592" s="43"/>
      <c r="D592" s="43"/>
      <c r="E592" s="43"/>
      <c r="F592" s="43"/>
      <c r="G592" s="43"/>
      <c r="H592" s="43"/>
      <c r="I592" s="43"/>
      <c r="J592" s="43"/>
      <c r="K592" s="43"/>
      <c r="L592" s="43"/>
      <c r="M592" s="43"/>
    </row>
    <row r="593" spans="1:13" ht="14.25" customHeight="1" x14ac:dyDescent="0.25">
      <c r="A593" s="43"/>
      <c r="B593" s="43"/>
      <c r="C593" s="43"/>
      <c r="D593" s="43"/>
      <c r="E593" s="43"/>
      <c r="F593" s="43"/>
      <c r="G593" s="43"/>
      <c r="H593" s="43"/>
      <c r="I593" s="43"/>
      <c r="J593" s="43"/>
      <c r="K593" s="43"/>
      <c r="L593" s="43"/>
      <c r="M593" s="43"/>
    </row>
    <row r="594" spans="1:13" ht="14.25" customHeight="1" x14ac:dyDescent="0.25">
      <c r="A594" s="43"/>
      <c r="B594" s="43"/>
      <c r="C594" s="43"/>
      <c r="D594" s="43"/>
      <c r="E594" s="43"/>
      <c r="F594" s="43"/>
      <c r="G594" s="43"/>
      <c r="H594" s="43"/>
      <c r="I594" s="43"/>
      <c r="J594" s="43"/>
      <c r="K594" s="43"/>
      <c r="L594" s="43"/>
      <c r="M594" s="43"/>
    </row>
    <row r="595" spans="1:13" ht="14.25" customHeight="1" x14ac:dyDescent="0.25">
      <c r="A595" s="43"/>
      <c r="B595" s="43"/>
      <c r="C595" s="43"/>
      <c r="D595" s="43"/>
      <c r="E595" s="43"/>
      <c r="F595" s="43"/>
      <c r="G595" s="43"/>
      <c r="H595" s="43"/>
      <c r="I595" s="43"/>
      <c r="J595" s="43"/>
      <c r="K595" s="43"/>
      <c r="L595" s="43"/>
      <c r="M595" s="43"/>
    </row>
    <row r="596" spans="1:13" ht="14.25" customHeight="1" x14ac:dyDescent="0.25">
      <c r="A596" s="43"/>
      <c r="B596" s="43"/>
      <c r="C596" s="43"/>
      <c r="D596" s="43"/>
      <c r="E596" s="43"/>
      <c r="F596" s="43"/>
      <c r="G596" s="43"/>
      <c r="H596" s="43"/>
      <c r="I596" s="43"/>
      <c r="J596" s="43"/>
      <c r="K596" s="43"/>
      <c r="L596" s="43"/>
      <c r="M596" s="43"/>
    </row>
    <row r="597" spans="1:13" ht="14.25" customHeight="1" x14ac:dyDescent="0.25">
      <c r="A597" s="43"/>
      <c r="B597" s="43"/>
      <c r="C597" s="43"/>
      <c r="D597" s="43"/>
      <c r="E597" s="43"/>
      <c r="F597" s="43"/>
      <c r="G597" s="43"/>
      <c r="H597" s="43"/>
      <c r="I597" s="43"/>
      <c r="J597" s="43"/>
      <c r="K597" s="43"/>
      <c r="L597" s="43"/>
      <c r="M597" s="43"/>
    </row>
    <row r="598" spans="1:13" ht="14.25" customHeight="1" x14ac:dyDescent="0.25">
      <c r="A598" s="43"/>
      <c r="B598" s="43"/>
      <c r="C598" s="43"/>
      <c r="D598" s="43"/>
      <c r="E598" s="43"/>
      <c r="F598" s="43"/>
      <c r="G598" s="43"/>
      <c r="H598" s="43"/>
      <c r="I598" s="43"/>
      <c r="J598" s="43"/>
      <c r="K598" s="43"/>
      <c r="L598" s="43"/>
      <c r="M598" s="43"/>
    </row>
    <row r="599" spans="1:13" ht="14.25" customHeight="1" x14ac:dyDescent="0.25">
      <c r="A599" s="43"/>
      <c r="B599" s="43"/>
      <c r="C599" s="43"/>
      <c r="D599" s="43"/>
      <c r="E599" s="43"/>
      <c r="F599" s="43"/>
      <c r="G599" s="43"/>
      <c r="H599" s="43"/>
      <c r="I599" s="43"/>
      <c r="J599" s="43"/>
      <c r="K599" s="43"/>
      <c r="L599" s="43"/>
      <c r="M599" s="43"/>
    </row>
    <row r="600" spans="1:13" ht="15.75" customHeight="1" x14ac:dyDescent="0.25"/>
    <row r="601" spans="1:13" ht="15.75" customHeight="1" x14ac:dyDescent="0.25"/>
    <row r="602" spans="1:13" ht="15.75" customHeight="1" x14ac:dyDescent="0.25"/>
    <row r="603" spans="1:13" ht="15.75" customHeight="1" x14ac:dyDescent="0.25"/>
    <row r="604" spans="1:13" ht="15.75" customHeight="1" x14ac:dyDescent="0.25"/>
    <row r="605" spans="1:13" ht="15.75" customHeight="1" x14ac:dyDescent="0.25"/>
    <row r="606" spans="1:13" ht="15.75" customHeight="1" x14ac:dyDescent="0.25"/>
    <row r="607" spans="1:13" ht="15.75" customHeight="1" x14ac:dyDescent="0.25"/>
    <row r="608" spans="1:13"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5">
    <mergeCell ref="I367:K367"/>
    <mergeCell ref="I368:K373"/>
    <mergeCell ref="B359:C359"/>
    <mergeCell ref="B361:D361"/>
    <mergeCell ref="B365:B366"/>
    <mergeCell ref="C365:G366"/>
    <mergeCell ref="I365:I366"/>
    <mergeCell ref="B367:B373"/>
    <mergeCell ref="C367:G373"/>
    <mergeCell ref="I342:K342"/>
    <mergeCell ref="B342:B348"/>
    <mergeCell ref="C342:G348"/>
    <mergeCell ref="I343:K348"/>
    <mergeCell ref="B349:K350"/>
    <mergeCell ref="B353:K354"/>
    <mergeCell ref="B355:K357"/>
    <mergeCell ref="D359:I359"/>
    <mergeCell ref="J365:K366"/>
    <mergeCell ref="B324:K325"/>
    <mergeCell ref="B328:K329"/>
    <mergeCell ref="B330:K332"/>
    <mergeCell ref="B334:C334"/>
    <mergeCell ref="D334:I334"/>
    <mergeCell ref="B336:D336"/>
    <mergeCell ref="B340:B341"/>
    <mergeCell ref="C340:G341"/>
    <mergeCell ref="I340:I341"/>
    <mergeCell ref="J340:K341"/>
    <mergeCell ref="J315:K316"/>
    <mergeCell ref="I317:K317"/>
    <mergeCell ref="I318:K323"/>
    <mergeCell ref="B299:K300"/>
    <mergeCell ref="B303:K304"/>
    <mergeCell ref="B305:K307"/>
    <mergeCell ref="B309:C309"/>
    <mergeCell ref="D309:I309"/>
    <mergeCell ref="B311:D311"/>
    <mergeCell ref="B315:B316"/>
    <mergeCell ref="C315:G316"/>
    <mergeCell ref="I315:I316"/>
    <mergeCell ref="B317:B323"/>
    <mergeCell ref="C317:G323"/>
    <mergeCell ref="C390:G391"/>
    <mergeCell ref="I390:I391"/>
    <mergeCell ref="B392:B398"/>
    <mergeCell ref="C392:G398"/>
    <mergeCell ref="B399:K400"/>
    <mergeCell ref="J390:K391"/>
    <mergeCell ref="I392:K392"/>
    <mergeCell ref="I393:K398"/>
    <mergeCell ref="B374:K375"/>
    <mergeCell ref="B378:K379"/>
    <mergeCell ref="B380:K382"/>
    <mergeCell ref="B384:C384"/>
    <mergeCell ref="D384:I384"/>
    <mergeCell ref="B386:D386"/>
    <mergeCell ref="B390:B391"/>
    <mergeCell ref="I292:K292"/>
    <mergeCell ref="I293:K298"/>
    <mergeCell ref="B284:C284"/>
    <mergeCell ref="B286:D286"/>
    <mergeCell ref="B290:B291"/>
    <mergeCell ref="C290:G291"/>
    <mergeCell ref="I290:I291"/>
    <mergeCell ref="B292:B298"/>
    <mergeCell ref="C292:G298"/>
    <mergeCell ref="I267:K267"/>
    <mergeCell ref="B267:B273"/>
    <mergeCell ref="C267:G273"/>
    <mergeCell ref="I268:K273"/>
    <mergeCell ref="B274:K275"/>
    <mergeCell ref="B278:K279"/>
    <mergeCell ref="B280:K282"/>
    <mergeCell ref="D284:I284"/>
    <mergeCell ref="J290:K291"/>
    <mergeCell ref="B249:K250"/>
    <mergeCell ref="B253:K254"/>
    <mergeCell ref="B255:K257"/>
    <mergeCell ref="B259:C259"/>
    <mergeCell ref="D259:I259"/>
    <mergeCell ref="B261:D261"/>
    <mergeCell ref="B265:B266"/>
    <mergeCell ref="C265:G266"/>
    <mergeCell ref="I265:I266"/>
    <mergeCell ref="J265:K266"/>
    <mergeCell ref="J240:K241"/>
    <mergeCell ref="I242:K242"/>
    <mergeCell ref="I243:K248"/>
    <mergeCell ref="B224:K225"/>
    <mergeCell ref="B228:K229"/>
    <mergeCell ref="B230:K232"/>
    <mergeCell ref="B234:C234"/>
    <mergeCell ref="D234:I234"/>
    <mergeCell ref="B236:D236"/>
    <mergeCell ref="B240:B241"/>
    <mergeCell ref="C240:G241"/>
    <mergeCell ref="I240:I241"/>
    <mergeCell ref="B242:B248"/>
    <mergeCell ref="C242:G248"/>
    <mergeCell ref="I217:K217"/>
    <mergeCell ref="I218:K223"/>
    <mergeCell ref="B209:C209"/>
    <mergeCell ref="B211:D211"/>
    <mergeCell ref="B215:B216"/>
    <mergeCell ref="C215:G216"/>
    <mergeCell ref="I215:I216"/>
    <mergeCell ref="B217:B223"/>
    <mergeCell ref="C217:G223"/>
    <mergeCell ref="I192:K192"/>
    <mergeCell ref="B192:B198"/>
    <mergeCell ref="C192:G198"/>
    <mergeCell ref="I193:K198"/>
    <mergeCell ref="B199:K200"/>
    <mergeCell ref="B203:K204"/>
    <mergeCell ref="B205:K207"/>
    <mergeCell ref="D209:I209"/>
    <mergeCell ref="J215:K216"/>
    <mergeCell ref="B174:K175"/>
    <mergeCell ref="B178:K179"/>
    <mergeCell ref="B180:K182"/>
    <mergeCell ref="B184:C184"/>
    <mergeCell ref="D184:I184"/>
    <mergeCell ref="B186:D186"/>
    <mergeCell ref="B190:B191"/>
    <mergeCell ref="C190:G191"/>
    <mergeCell ref="I190:I191"/>
    <mergeCell ref="J190:K191"/>
    <mergeCell ref="J165:K166"/>
    <mergeCell ref="I167:K167"/>
    <mergeCell ref="I168:K173"/>
    <mergeCell ref="B149:K150"/>
    <mergeCell ref="B153:K154"/>
    <mergeCell ref="B155:K157"/>
    <mergeCell ref="B159:C159"/>
    <mergeCell ref="D159:I159"/>
    <mergeCell ref="B161:D161"/>
    <mergeCell ref="B165:B166"/>
    <mergeCell ref="C165:G166"/>
    <mergeCell ref="I165:I166"/>
    <mergeCell ref="B167:B173"/>
    <mergeCell ref="C167:G173"/>
    <mergeCell ref="I142:K142"/>
    <mergeCell ref="I143:K148"/>
    <mergeCell ref="B134:C134"/>
    <mergeCell ref="B136:D136"/>
    <mergeCell ref="B140:B141"/>
    <mergeCell ref="C140:G141"/>
    <mergeCell ref="I140:I141"/>
    <mergeCell ref="B142:B148"/>
    <mergeCell ref="C142:G148"/>
    <mergeCell ref="I117:K117"/>
    <mergeCell ref="B117:B123"/>
    <mergeCell ref="C117:G123"/>
    <mergeCell ref="I118:K123"/>
    <mergeCell ref="B124:K125"/>
    <mergeCell ref="B128:K129"/>
    <mergeCell ref="B130:K132"/>
    <mergeCell ref="D134:I134"/>
    <mergeCell ref="J140:K141"/>
    <mergeCell ref="B99:K100"/>
    <mergeCell ref="B103:K104"/>
    <mergeCell ref="B105:K107"/>
    <mergeCell ref="B109:C109"/>
    <mergeCell ref="D109:I109"/>
    <mergeCell ref="B111:D111"/>
    <mergeCell ref="B115:B116"/>
    <mergeCell ref="C115:G116"/>
    <mergeCell ref="I115:I116"/>
    <mergeCell ref="J115:K116"/>
    <mergeCell ref="J90:K91"/>
    <mergeCell ref="I92:K92"/>
    <mergeCell ref="I93:K98"/>
    <mergeCell ref="B74:K75"/>
    <mergeCell ref="B78:K79"/>
    <mergeCell ref="B80:K82"/>
    <mergeCell ref="B84:C84"/>
    <mergeCell ref="D84:I84"/>
    <mergeCell ref="B86:D86"/>
    <mergeCell ref="B90:B91"/>
    <mergeCell ref="C90:G91"/>
    <mergeCell ref="I90:I91"/>
    <mergeCell ref="B92:B98"/>
    <mergeCell ref="C92:G98"/>
    <mergeCell ref="I67:K67"/>
    <mergeCell ref="I68:K73"/>
    <mergeCell ref="B59:C59"/>
    <mergeCell ref="B61:D61"/>
    <mergeCell ref="B65:B66"/>
    <mergeCell ref="C65:G66"/>
    <mergeCell ref="I65:I66"/>
    <mergeCell ref="B67:B73"/>
    <mergeCell ref="C67:G73"/>
    <mergeCell ref="I42:K42"/>
    <mergeCell ref="B42:B48"/>
    <mergeCell ref="C42:G48"/>
    <mergeCell ref="I43:K48"/>
    <mergeCell ref="B49:K50"/>
    <mergeCell ref="B53:K54"/>
    <mergeCell ref="B55:K57"/>
    <mergeCell ref="D59:I59"/>
    <mergeCell ref="J65:K66"/>
    <mergeCell ref="B24:K25"/>
    <mergeCell ref="B28:K29"/>
    <mergeCell ref="B30:K32"/>
    <mergeCell ref="B34:C34"/>
    <mergeCell ref="D34:I34"/>
    <mergeCell ref="B36:D36"/>
    <mergeCell ref="B40:B41"/>
    <mergeCell ref="C40:G41"/>
    <mergeCell ref="I40:I41"/>
    <mergeCell ref="J40:K41"/>
    <mergeCell ref="J15:K16"/>
    <mergeCell ref="I17:K17"/>
    <mergeCell ref="I18:K23"/>
    <mergeCell ref="B2:K2"/>
    <mergeCell ref="B3:K4"/>
    <mergeCell ref="B5:K7"/>
    <mergeCell ref="B9:C9"/>
    <mergeCell ref="D9:I9"/>
    <mergeCell ref="B11:D11"/>
    <mergeCell ref="B15:B16"/>
    <mergeCell ref="C15:G16"/>
    <mergeCell ref="I15:I16"/>
    <mergeCell ref="B17:B23"/>
    <mergeCell ref="C17:G23"/>
  </mergeCells>
  <conditionalFormatting sqref="G13 G38 G63 G88 G113 G138 G163 G188 G213 G238 G263 G288 G313 G338 G363 G388">
    <cfRule type="containsBlanks" dxfId="15" priority="1">
      <formula>LEN(TRIM(G13))=0</formula>
    </cfRule>
  </conditionalFormatting>
  <conditionalFormatting sqref="I17:K17 I42:K42 I67:K67 I92:K92 I117:K117 I142:K142 I167:K167 I192:K192 I217:K217 I242:K242 I267:K267 I292:K292 I317:K317 I342:K342 I367:K367 I392:K392">
    <cfRule type="cellIs" dxfId="14" priority="2" operator="equal">
      <formula>0</formula>
    </cfRule>
  </conditionalFormatting>
  <printOptions horizontalCentered="1" verticalCentered="1"/>
  <pageMargins left="0.70866141732283472" right="0.70866141732283472" top="0.98425196850393704" bottom="0.74803149606299213" header="0" footer="0"/>
  <pageSetup paperSize="8" orientation="landscape"/>
  <headerFooter>
    <oddHeader>&amp;C The Experience Travel</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Z1000"/>
  <sheetViews>
    <sheetView workbookViewId="0"/>
  </sheetViews>
  <sheetFormatPr baseColWidth="10" defaultColWidth="14.42578125" defaultRowHeight="15" customHeight="1" x14ac:dyDescent="0.25"/>
  <cols>
    <col min="1" max="3" width="11.42578125" customWidth="1"/>
    <col min="4" max="4" width="11.140625" customWidth="1"/>
    <col min="5" max="5" width="4.140625" customWidth="1"/>
    <col min="6" max="6" width="17.42578125" customWidth="1"/>
    <col min="7" max="7" width="14.7109375" customWidth="1"/>
    <col min="8" max="8" width="13.140625" customWidth="1"/>
    <col min="9" max="9" width="13" customWidth="1"/>
    <col min="10" max="26" width="11.42578125" customWidth="1"/>
  </cols>
  <sheetData>
    <row r="1" spans="1:26" ht="14.25" customHeigh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row>
    <row r="2" spans="1:26" ht="14.25" customHeight="1" x14ac:dyDescent="0.25">
      <c r="A2" s="43"/>
      <c r="B2" s="269"/>
      <c r="C2" s="270"/>
      <c r="D2" s="270"/>
      <c r="E2" s="270"/>
      <c r="F2" s="270"/>
      <c r="G2" s="270"/>
      <c r="H2" s="270"/>
      <c r="I2" s="270"/>
      <c r="J2" s="271"/>
      <c r="K2" s="43"/>
      <c r="L2" s="43"/>
      <c r="M2" s="43"/>
      <c r="N2" s="43"/>
      <c r="O2" s="43"/>
      <c r="P2" s="43"/>
      <c r="Q2" s="43"/>
      <c r="R2" s="43"/>
      <c r="S2" s="43"/>
      <c r="T2" s="43"/>
      <c r="U2" s="43"/>
      <c r="V2" s="43"/>
      <c r="W2" s="43"/>
      <c r="X2" s="43"/>
      <c r="Y2" s="43"/>
      <c r="Z2" s="43"/>
    </row>
    <row r="3" spans="1:26" ht="14.25" customHeight="1" x14ac:dyDescent="0.25">
      <c r="A3" s="43"/>
      <c r="B3" s="272"/>
      <c r="C3" s="273"/>
      <c r="D3" s="273"/>
      <c r="E3" s="273"/>
      <c r="F3" s="273"/>
      <c r="G3" s="273"/>
      <c r="H3" s="273"/>
      <c r="I3" s="273"/>
      <c r="J3" s="273"/>
      <c r="K3" s="274"/>
      <c r="L3" s="43"/>
      <c r="M3" s="43"/>
      <c r="N3" s="43"/>
      <c r="O3" s="43"/>
      <c r="P3" s="43"/>
      <c r="Q3" s="43"/>
      <c r="R3" s="43"/>
      <c r="S3" s="43"/>
      <c r="T3" s="43"/>
      <c r="U3" s="43"/>
      <c r="V3" s="43"/>
      <c r="W3" s="43"/>
      <c r="X3" s="43"/>
      <c r="Y3" s="43"/>
      <c r="Z3" s="43"/>
    </row>
    <row r="4" spans="1:26" ht="14.25" customHeight="1" x14ac:dyDescent="0.25">
      <c r="A4" s="43"/>
      <c r="B4" s="275"/>
      <c r="C4" s="276"/>
      <c r="D4" s="276"/>
      <c r="E4" s="276"/>
      <c r="F4" s="276"/>
      <c r="G4" s="276"/>
      <c r="H4" s="276"/>
      <c r="I4" s="276"/>
      <c r="J4" s="276"/>
      <c r="K4" s="277"/>
      <c r="L4" s="43"/>
      <c r="M4" s="43"/>
      <c r="N4" s="43"/>
      <c r="O4" s="43"/>
      <c r="P4" s="43"/>
      <c r="Q4" s="43"/>
      <c r="R4" s="43"/>
      <c r="S4" s="43"/>
      <c r="T4" s="43"/>
      <c r="U4" s="43"/>
      <c r="V4" s="43"/>
      <c r="W4" s="43"/>
      <c r="X4" s="43"/>
      <c r="Y4" s="43"/>
      <c r="Z4" s="43"/>
    </row>
    <row r="5" spans="1:26" ht="17.25" customHeight="1" x14ac:dyDescent="0.25">
      <c r="A5" s="43"/>
      <c r="B5" s="278" t="s">
        <v>27</v>
      </c>
      <c r="C5" s="279"/>
      <c r="D5" s="279"/>
      <c r="E5" s="279"/>
      <c r="F5" s="279"/>
      <c r="G5" s="279"/>
      <c r="H5" s="279"/>
      <c r="I5" s="279"/>
      <c r="J5" s="316"/>
      <c r="K5" s="45"/>
      <c r="L5" s="43"/>
      <c r="M5" s="43"/>
      <c r="N5" s="43"/>
      <c r="O5" s="43"/>
      <c r="P5" s="43"/>
      <c r="Q5" s="43"/>
      <c r="R5" s="43"/>
      <c r="S5" s="43"/>
      <c r="T5" s="43"/>
      <c r="U5" s="43"/>
      <c r="V5" s="43"/>
      <c r="W5" s="43"/>
      <c r="X5" s="43"/>
      <c r="Y5" s="43"/>
      <c r="Z5" s="43"/>
    </row>
    <row r="6" spans="1:26" ht="9" customHeight="1" x14ac:dyDescent="0.25">
      <c r="A6" s="43"/>
      <c r="B6" s="281"/>
      <c r="C6" s="221"/>
      <c r="D6" s="221"/>
      <c r="E6" s="221"/>
      <c r="F6" s="221"/>
      <c r="G6" s="221"/>
      <c r="H6" s="221"/>
      <c r="I6" s="221"/>
      <c r="J6" s="317"/>
      <c r="K6" s="45"/>
      <c r="L6" s="43"/>
      <c r="M6" s="43"/>
      <c r="N6" s="43"/>
      <c r="O6" s="43"/>
      <c r="P6" s="43"/>
      <c r="Q6" s="43"/>
      <c r="R6" s="43"/>
      <c r="S6" s="43"/>
      <c r="T6" s="43"/>
      <c r="U6" s="43"/>
      <c r="V6" s="43"/>
      <c r="W6" s="43"/>
      <c r="X6" s="43"/>
      <c r="Y6" s="43"/>
      <c r="Z6" s="43"/>
    </row>
    <row r="7" spans="1:26" ht="14.25" customHeight="1" x14ac:dyDescent="0.25">
      <c r="A7" s="43"/>
      <c r="B7" s="275"/>
      <c r="C7" s="276"/>
      <c r="D7" s="276"/>
      <c r="E7" s="276"/>
      <c r="F7" s="276"/>
      <c r="G7" s="276"/>
      <c r="H7" s="276"/>
      <c r="I7" s="276"/>
      <c r="J7" s="318"/>
      <c r="K7" s="45"/>
      <c r="L7" s="43"/>
      <c r="M7" s="43"/>
      <c r="N7" s="43"/>
      <c r="O7" s="43"/>
      <c r="P7" s="43"/>
      <c r="Q7" s="43"/>
      <c r="R7" s="43"/>
      <c r="S7" s="43"/>
      <c r="T7" s="43"/>
      <c r="U7" s="43"/>
      <c r="V7" s="43"/>
      <c r="W7" s="43"/>
      <c r="X7" s="43"/>
      <c r="Y7" s="43"/>
      <c r="Z7" s="43"/>
    </row>
    <row r="8" spans="1:26" ht="14.25" customHeight="1" x14ac:dyDescent="0.25">
      <c r="A8" s="43"/>
      <c r="B8" s="44"/>
      <c r="K8" s="45"/>
      <c r="L8" s="43"/>
      <c r="M8" s="43"/>
      <c r="N8" s="43"/>
      <c r="O8" s="43"/>
      <c r="P8" s="43"/>
      <c r="Q8" s="43"/>
      <c r="R8" s="43"/>
      <c r="S8" s="43"/>
      <c r="T8" s="43"/>
      <c r="U8" s="43"/>
      <c r="V8" s="43"/>
      <c r="W8" s="43"/>
      <c r="X8" s="43"/>
      <c r="Y8" s="43"/>
      <c r="Z8" s="43"/>
    </row>
    <row r="9" spans="1:26" ht="14.25" customHeight="1" x14ac:dyDescent="0.4">
      <c r="A9" s="43"/>
      <c r="B9" s="282" t="s">
        <v>0</v>
      </c>
      <c r="C9" s="221"/>
      <c r="D9" s="283" t="s">
        <v>34</v>
      </c>
      <c r="E9" s="221"/>
      <c r="F9" s="221"/>
      <c r="G9" s="221"/>
      <c r="H9" s="221"/>
      <c r="I9" s="221"/>
      <c r="J9" s="46"/>
      <c r="K9" s="47"/>
      <c r="L9" s="43"/>
      <c r="M9" s="43"/>
      <c r="N9" s="43"/>
      <c r="O9" s="43"/>
      <c r="P9" s="43"/>
      <c r="Q9" s="43"/>
      <c r="R9" s="43"/>
      <c r="S9" s="43"/>
      <c r="T9" s="43"/>
      <c r="U9" s="43"/>
      <c r="V9" s="43"/>
      <c r="W9" s="43"/>
      <c r="X9" s="43"/>
      <c r="Y9" s="43"/>
      <c r="Z9" s="43"/>
    </row>
    <row r="10" spans="1:26" ht="9" customHeight="1" x14ac:dyDescent="0.35">
      <c r="A10" s="43"/>
      <c r="B10" s="48"/>
      <c r="C10" s="46"/>
      <c r="D10" s="46"/>
      <c r="E10" s="46"/>
      <c r="F10" s="46"/>
      <c r="G10" s="46"/>
      <c r="H10" s="46"/>
      <c r="I10" s="46"/>
      <c r="J10" s="46"/>
      <c r="K10" s="47"/>
      <c r="L10" s="43"/>
      <c r="M10" s="43"/>
      <c r="N10" s="43"/>
      <c r="O10" s="43"/>
      <c r="P10" s="43"/>
      <c r="Q10" s="43"/>
      <c r="R10" s="43"/>
      <c r="S10" s="43"/>
      <c r="T10" s="43"/>
      <c r="U10" s="43"/>
      <c r="V10" s="43"/>
      <c r="W10" s="43"/>
      <c r="X10" s="43"/>
      <c r="Y10" s="43"/>
      <c r="Z10" s="43"/>
    </row>
    <row r="11" spans="1:26" ht="19.5" customHeight="1" x14ac:dyDescent="0.35">
      <c r="A11" s="43"/>
      <c r="B11" s="284">
        <f>+'CONF '!D2</f>
        <v>2</v>
      </c>
      <c r="C11" s="221"/>
      <c r="D11" s="221"/>
      <c r="E11" s="46"/>
      <c r="F11" s="46"/>
      <c r="G11" s="46"/>
      <c r="H11" s="46"/>
      <c r="I11" s="46"/>
      <c r="J11" s="46"/>
      <c r="K11" s="47"/>
      <c r="L11" s="43"/>
      <c r="M11" s="43"/>
      <c r="N11" s="43"/>
      <c r="O11" s="43"/>
      <c r="P11" s="43"/>
      <c r="Q11" s="43"/>
      <c r="R11" s="43"/>
      <c r="S11" s="43"/>
      <c r="T11" s="43"/>
      <c r="U11" s="43"/>
      <c r="V11" s="43"/>
      <c r="W11" s="43"/>
      <c r="X11" s="43"/>
      <c r="Y11" s="43"/>
      <c r="Z11" s="43"/>
    </row>
    <row r="12" spans="1:26" ht="39.75" customHeight="1" x14ac:dyDescent="0.35">
      <c r="A12" s="43"/>
      <c r="B12" s="44"/>
      <c r="C12" s="46"/>
      <c r="D12" s="46"/>
      <c r="E12" s="46"/>
      <c r="F12" s="46"/>
      <c r="G12" s="46"/>
      <c r="H12" s="46"/>
      <c r="I12" s="46"/>
      <c r="J12" s="46"/>
      <c r="K12" s="47"/>
      <c r="L12" s="43"/>
      <c r="M12" s="43"/>
      <c r="N12" s="43"/>
      <c r="O12" s="43"/>
      <c r="P12" s="43"/>
      <c r="Q12" s="43"/>
      <c r="R12" s="43"/>
      <c r="S12" s="43"/>
      <c r="T12" s="43"/>
      <c r="U12" s="43"/>
      <c r="V12" s="43"/>
      <c r="W12" s="43"/>
      <c r="X12" s="43"/>
      <c r="Y12" s="43"/>
      <c r="Z12" s="43"/>
    </row>
    <row r="13" spans="1:26" ht="15.75" customHeight="1" x14ac:dyDescent="0.35">
      <c r="A13" s="43"/>
      <c r="B13" s="49" t="s">
        <v>28</v>
      </c>
      <c r="C13" s="50">
        <f>+'CONF '!A5</f>
        <v>45781</v>
      </c>
      <c r="D13" s="51"/>
      <c r="E13" s="46"/>
      <c r="F13" s="52" t="s">
        <v>29</v>
      </c>
      <c r="G13" s="53">
        <v>0.61458333333333337</v>
      </c>
      <c r="H13" s="46"/>
      <c r="I13" s="46"/>
      <c r="J13" s="46"/>
      <c r="K13" s="47"/>
      <c r="L13" s="43"/>
      <c r="M13" s="43"/>
      <c r="N13" s="43"/>
      <c r="O13" s="43"/>
      <c r="P13" s="43"/>
      <c r="Q13" s="43"/>
      <c r="R13" s="43"/>
      <c r="S13" s="43"/>
      <c r="T13" s="43"/>
      <c r="U13" s="43"/>
      <c r="V13" s="43"/>
      <c r="W13" s="43"/>
      <c r="X13" s="43"/>
      <c r="Y13" s="43"/>
      <c r="Z13" s="43"/>
    </row>
    <row r="14" spans="1:26" ht="22.5" customHeight="1" x14ac:dyDescent="0.35">
      <c r="A14" s="43"/>
      <c r="B14" s="54"/>
      <c r="C14" s="55"/>
      <c r="D14" s="56"/>
      <c r="E14" s="46"/>
      <c r="F14" s="57"/>
      <c r="G14" s="56"/>
      <c r="H14" s="46"/>
      <c r="I14" s="46"/>
      <c r="J14" s="46"/>
      <c r="K14" s="47"/>
      <c r="L14" s="43"/>
      <c r="M14" s="43"/>
      <c r="N14" s="43"/>
      <c r="O14" s="43"/>
      <c r="P14" s="43"/>
      <c r="Q14" s="43"/>
      <c r="R14" s="43"/>
      <c r="S14" s="43"/>
      <c r="T14" s="43"/>
      <c r="U14" s="43"/>
      <c r="V14" s="43"/>
      <c r="W14" s="43"/>
      <c r="X14" s="43"/>
      <c r="Y14" s="43"/>
      <c r="Z14" s="43"/>
    </row>
    <row r="15" spans="1:26" ht="14.25" customHeight="1" x14ac:dyDescent="0.35">
      <c r="A15" s="43"/>
      <c r="B15" s="285" t="s">
        <v>30</v>
      </c>
      <c r="C15" s="287" t="str">
        <f>+'CONF '!B5</f>
        <v>Aluguel De Moto Elétrica 2 Pessoas</v>
      </c>
      <c r="D15" s="264"/>
      <c r="E15" s="264"/>
      <c r="F15" s="264"/>
      <c r="G15" s="288"/>
      <c r="H15" s="58"/>
      <c r="I15" s="290" t="s">
        <v>31</v>
      </c>
      <c r="J15" s="259">
        <f>+'CONF '!D45</f>
        <v>160000</v>
      </c>
      <c r="K15" s="260"/>
      <c r="L15" s="43"/>
      <c r="M15" s="43"/>
      <c r="N15" s="43"/>
      <c r="O15" s="43"/>
      <c r="P15" s="43"/>
      <c r="Q15" s="43"/>
      <c r="R15" s="43"/>
      <c r="S15" s="43"/>
      <c r="T15" s="43"/>
      <c r="U15" s="43"/>
      <c r="V15" s="43"/>
      <c r="W15" s="43"/>
      <c r="X15" s="43"/>
      <c r="Y15" s="43"/>
      <c r="Z15" s="43"/>
    </row>
    <row r="16" spans="1:26" ht="14.25" customHeight="1" x14ac:dyDescent="0.35">
      <c r="A16" s="43"/>
      <c r="B16" s="286"/>
      <c r="C16" s="261"/>
      <c r="D16" s="261"/>
      <c r="E16" s="261"/>
      <c r="F16" s="261"/>
      <c r="G16" s="289"/>
      <c r="H16" s="46"/>
      <c r="I16" s="268"/>
      <c r="J16" s="261"/>
      <c r="K16" s="262"/>
      <c r="L16" s="43"/>
      <c r="M16" s="43"/>
      <c r="N16" s="43"/>
      <c r="O16" s="43"/>
      <c r="P16" s="43"/>
      <c r="Q16" s="43"/>
      <c r="R16" s="43"/>
      <c r="S16" s="43"/>
      <c r="T16" s="43"/>
      <c r="U16" s="43"/>
      <c r="V16" s="43"/>
      <c r="W16" s="43"/>
      <c r="X16" s="43"/>
      <c r="Y16" s="43"/>
      <c r="Z16" s="43"/>
    </row>
    <row r="17" spans="1:26" ht="15" customHeight="1" x14ac:dyDescent="0.4">
      <c r="A17" s="43"/>
      <c r="B17" s="59" t="s">
        <v>32</v>
      </c>
      <c r="C17" s="319" t="e">
        <f>+VLOOKUP(O8,'TARIFAS '!$A$3:$N$239,7,FALSE)</f>
        <v>#N/A</v>
      </c>
      <c r="D17" s="264"/>
      <c r="E17" s="264"/>
      <c r="F17" s="264"/>
      <c r="G17" s="288"/>
      <c r="H17" s="58"/>
      <c r="I17" s="314" t="s">
        <v>35</v>
      </c>
      <c r="J17" s="264"/>
      <c r="K17" s="260"/>
      <c r="L17" s="43"/>
      <c r="M17" s="43"/>
      <c r="N17" s="43"/>
      <c r="O17" s="43"/>
      <c r="P17" s="43"/>
      <c r="Q17" s="43"/>
      <c r="R17" s="43"/>
      <c r="S17" s="43"/>
      <c r="T17" s="43"/>
      <c r="U17" s="43"/>
      <c r="V17" s="43"/>
      <c r="W17" s="43"/>
      <c r="X17" s="43"/>
      <c r="Y17" s="43"/>
      <c r="Z17" s="43"/>
    </row>
    <row r="18" spans="1:26" ht="13.5" customHeight="1" x14ac:dyDescent="0.35">
      <c r="A18" s="43"/>
      <c r="B18" s="48"/>
      <c r="C18" s="221"/>
      <c r="D18" s="221"/>
      <c r="E18" s="221"/>
      <c r="F18" s="221"/>
      <c r="G18" s="292"/>
      <c r="H18" s="46"/>
      <c r="I18" s="315"/>
      <c r="J18" s="221"/>
      <c r="K18" s="266"/>
      <c r="L18" s="43"/>
      <c r="M18" s="43"/>
      <c r="N18" s="43"/>
      <c r="O18" s="43"/>
      <c r="P18" s="43"/>
      <c r="Q18" s="43"/>
      <c r="R18" s="43"/>
      <c r="S18" s="43"/>
      <c r="T18" s="43"/>
      <c r="U18" s="43"/>
      <c r="V18" s="43"/>
      <c r="W18" s="43"/>
      <c r="X18" s="43"/>
      <c r="Y18" s="43"/>
      <c r="Z18" s="43"/>
    </row>
    <row r="19" spans="1:26" ht="14.25" customHeight="1" x14ac:dyDescent="0.35">
      <c r="A19" s="43"/>
      <c r="B19" s="48"/>
      <c r="C19" s="221"/>
      <c r="D19" s="221"/>
      <c r="E19" s="221"/>
      <c r="F19" s="221"/>
      <c r="G19" s="292"/>
      <c r="H19" s="46"/>
      <c r="I19" s="267"/>
      <c r="J19" s="221"/>
      <c r="K19" s="266"/>
      <c r="L19" s="43"/>
      <c r="M19" s="43"/>
      <c r="N19" s="43"/>
      <c r="O19" s="43"/>
      <c r="P19" s="43"/>
      <c r="Q19" s="43"/>
      <c r="R19" s="43"/>
      <c r="S19" s="43"/>
      <c r="T19" s="43"/>
      <c r="U19" s="43"/>
      <c r="V19" s="43"/>
      <c r="W19" s="43"/>
      <c r="X19" s="43"/>
      <c r="Y19" s="43"/>
      <c r="Z19" s="43"/>
    </row>
    <row r="20" spans="1:26" ht="14.25" customHeight="1" x14ac:dyDescent="0.35">
      <c r="A20" s="43"/>
      <c r="B20" s="48"/>
      <c r="C20" s="221"/>
      <c r="D20" s="221"/>
      <c r="E20" s="221"/>
      <c r="F20" s="221"/>
      <c r="G20" s="292"/>
      <c r="H20" s="46"/>
      <c r="I20" s="267"/>
      <c r="J20" s="221"/>
      <c r="K20" s="266"/>
      <c r="L20" s="43"/>
      <c r="M20" s="43"/>
      <c r="N20" s="43"/>
      <c r="O20" s="43"/>
      <c r="P20" s="43"/>
      <c r="Q20" s="43"/>
      <c r="R20" s="43"/>
      <c r="S20" s="43"/>
      <c r="T20" s="43"/>
      <c r="U20" s="43"/>
      <c r="V20" s="43"/>
      <c r="W20" s="43"/>
      <c r="X20" s="43"/>
      <c r="Y20" s="43"/>
      <c r="Z20" s="43"/>
    </row>
    <row r="21" spans="1:26" ht="14.25" customHeight="1" x14ac:dyDescent="0.35">
      <c r="A21" s="43"/>
      <c r="B21" s="48"/>
      <c r="C21" s="261"/>
      <c r="D21" s="261"/>
      <c r="E21" s="261"/>
      <c r="F21" s="261"/>
      <c r="G21" s="289"/>
      <c r="H21" s="46"/>
      <c r="I21" s="268"/>
      <c r="J21" s="261"/>
      <c r="K21" s="262"/>
      <c r="L21" s="43"/>
      <c r="M21" s="43"/>
      <c r="N21" s="43"/>
      <c r="O21" s="43"/>
      <c r="P21" s="43"/>
      <c r="Q21" s="43"/>
      <c r="R21" s="43"/>
      <c r="S21" s="43"/>
      <c r="T21" s="43"/>
      <c r="U21" s="43"/>
      <c r="V21" s="43"/>
      <c r="W21" s="43"/>
      <c r="X21" s="43"/>
      <c r="Y21" s="43"/>
      <c r="Z21" s="43"/>
    </row>
    <row r="22" spans="1:26" ht="14.25" customHeight="1" x14ac:dyDescent="0.25">
      <c r="A22" s="43"/>
      <c r="B22" s="293" t="s">
        <v>36</v>
      </c>
      <c r="C22" s="279"/>
      <c r="D22" s="279"/>
      <c r="E22" s="279"/>
      <c r="F22" s="279"/>
      <c r="G22" s="279"/>
      <c r="H22" s="279"/>
      <c r="I22" s="279"/>
      <c r="J22" s="279"/>
      <c r="K22" s="280"/>
      <c r="L22" s="43"/>
      <c r="M22" s="43"/>
      <c r="N22" s="43"/>
      <c r="O22" s="43"/>
      <c r="P22" s="43"/>
      <c r="Q22" s="43"/>
      <c r="R22" s="43"/>
      <c r="S22" s="43"/>
      <c r="T22" s="43"/>
      <c r="U22" s="43"/>
      <c r="V22" s="43"/>
      <c r="W22" s="43"/>
      <c r="X22" s="43"/>
      <c r="Y22" s="43"/>
      <c r="Z22" s="43"/>
    </row>
    <row r="23" spans="1:26" ht="8.25" customHeight="1" x14ac:dyDescent="0.25">
      <c r="A23" s="43"/>
      <c r="B23" s="294"/>
      <c r="C23" s="295"/>
      <c r="D23" s="295"/>
      <c r="E23" s="295"/>
      <c r="F23" s="295"/>
      <c r="G23" s="295"/>
      <c r="H23" s="295"/>
      <c r="I23" s="295"/>
      <c r="J23" s="295"/>
      <c r="K23" s="296"/>
      <c r="L23" s="43"/>
      <c r="M23" s="43"/>
      <c r="N23" s="43"/>
      <c r="O23" s="43"/>
      <c r="P23" s="43"/>
      <c r="Q23" s="43"/>
      <c r="R23" s="43"/>
      <c r="S23" s="43"/>
      <c r="T23" s="43"/>
      <c r="U23" s="43"/>
      <c r="V23" s="43"/>
      <c r="W23" s="43"/>
      <c r="X23" s="43"/>
      <c r="Y23" s="43"/>
      <c r="Z23" s="43"/>
    </row>
    <row r="24" spans="1:26" ht="16.5" customHeight="1" x14ac:dyDescent="0.25">
      <c r="A24" s="43"/>
      <c r="B24" s="60"/>
      <c r="C24" s="43"/>
      <c r="D24" s="43"/>
      <c r="E24" s="43"/>
      <c r="F24" s="61" t="s">
        <v>28</v>
      </c>
      <c r="G24" s="307">
        <f>+'CONF '!A6</f>
        <v>45782</v>
      </c>
      <c r="H24" s="303"/>
      <c r="I24" s="223"/>
      <c r="J24" s="62"/>
      <c r="K24" s="43"/>
      <c r="L24" s="43"/>
      <c r="M24" s="43"/>
      <c r="N24" s="43"/>
      <c r="O24" s="43"/>
      <c r="P24" s="43"/>
      <c r="Q24" s="43"/>
      <c r="R24" s="43"/>
      <c r="S24" s="43"/>
      <c r="T24" s="43"/>
      <c r="U24" s="43"/>
      <c r="V24" s="43"/>
      <c r="W24" s="43"/>
      <c r="X24" s="43"/>
      <c r="Y24" s="43"/>
      <c r="Z24" s="43"/>
    </row>
    <row r="25" spans="1:26" ht="9" customHeight="1" x14ac:dyDescent="0.25">
      <c r="A25" s="43"/>
      <c r="B25" s="60"/>
      <c r="C25" s="43"/>
      <c r="D25" s="43"/>
      <c r="E25" s="43"/>
      <c r="F25" s="61"/>
      <c r="G25" s="63"/>
      <c r="H25" s="63"/>
      <c r="I25" s="63"/>
      <c r="J25" s="62"/>
      <c r="K25" s="43"/>
      <c r="L25" s="43"/>
      <c r="M25" s="43"/>
      <c r="N25" s="43"/>
      <c r="O25" s="43"/>
      <c r="P25" s="43"/>
      <c r="Q25" s="43"/>
      <c r="R25" s="43"/>
      <c r="S25" s="43"/>
      <c r="T25" s="43"/>
      <c r="U25" s="43"/>
      <c r="V25" s="43"/>
      <c r="W25" s="43"/>
      <c r="X25" s="43"/>
      <c r="Y25" s="43"/>
      <c r="Z25" s="43"/>
    </row>
    <row r="26" spans="1:26" ht="14.25" customHeight="1" x14ac:dyDescent="0.25">
      <c r="A26" s="43"/>
      <c r="B26" s="60"/>
      <c r="C26" s="43"/>
      <c r="D26" s="43"/>
      <c r="E26" s="43"/>
      <c r="F26" s="61" t="s">
        <v>30</v>
      </c>
      <c r="G26" s="308" t="str">
        <f>+'CONF '!B6</f>
        <v>City Tour Panoramico + Catedral de Sal Regular</v>
      </c>
      <c r="H26" s="303"/>
      <c r="I26" s="223"/>
      <c r="J26" s="64"/>
      <c r="K26" s="43"/>
      <c r="L26" s="43"/>
      <c r="M26" s="43"/>
      <c r="N26" s="43"/>
      <c r="O26" s="43"/>
      <c r="P26" s="43"/>
      <c r="Q26" s="43"/>
      <c r="R26" s="43"/>
      <c r="S26" s="43"/>
      <c r="T26" s="43"/>
      <c r="U26" s="43"/>
      <c r="V26" s="43"/>
      <c r="W26" s="43"/>
      <c r="X26" s="43"/>
      <c r="Y26" s="43"/>
      <c r="Z26" s="43"/>
    </row>
    <row r="27" spans="1:26" ht="14.25" customHeight="1" x14ac:dyDescent="0.25">
      <c r="A27" s="43"/>
      <c r="B27" s="60"/>
      <c r="C27" s="43"/>
      <c r="D27" s="43"/>
      <c r="E27" s="43"/>
      <c r="F27" s="61"/>
      <c r="G27" s="65"/>
      <c r="H27" s="65"/>
      <c r="I27" s="65"/>
      <c r="J27" s="66"/>
      <c r="K27" s="43"/>
      <c r="L27" s="43"/>
      <c r="M27" s="43"/>
      <c r="N27" s="43"/>
      <c r="O27" s="43"/>
      <c r="P27" s="43"/>
      <c r="Q27" s="43"/>
      <c r="R27" s="43"/>
      <c r="S27" s="43"/>
      <c r="T27" s="43"/>
      <c r="U27" s="43"/>
      <c r="V27" s="43"/>
      <c r="W27" s="43"/>
      <c r="X27" s="43"/>
      <c r="Y27" s="43"/>
      <c r="Z27" s="43"/>
    </row>
    <row r="28" spans="1:26" ht="15" customHeight="1" x14ac:dyDescent="0.25">
      <c r="A28" s="43"/>
      <c r="B28" s="60"/>
      <c r="C28" s="43"/>
      <c r="D28" s="43"/>
      <c r="E28" s="43"/>
      <c r="F28" s="309" t="s">
        <v>37</v>
      </c>
      <c r="G28" s="299" t="str">
        <f>+VLOOKUP(G26,'TARIFAS '!$A$3:$N$239,7,FALSE)</f>
        <v>Apresentar-se na Carrera 11A # 93A - 10 em frente do Cafe Juan Valdez</v>
      </c>
      <c r="H28" s="279"/>
      <c r="I28" s="279"/>
      <c r="J28" s="280"/>
      <c r="K28" s="43"/>
      <c r="L28" s="43"/>
      <c r="M28" s="43"/>
      <c r="N28" s="43"/>
      <c r="O28" s="43"/>
      <c r="P28" s="43"/>
      <c r="Q28" s="43"/>
      <c r="R28" s="43"/>
      <c r="S28" s="43"/>
      <c r="T28" s="43"/>
      <c r="U28" s="43"/>
      <c r="V28" s="43"/>
      <c r="W28" s="43"/>
      <c r="X28" s="43"/>
      <c r="Y28" s="43"/>
      <c r="Z28" s="43"/>
    </row>
    <row r="29" spans="1:26" ht="9" customHeight="1" x14ac:dyDescent="0.25">
      <c r="A29" s="43"/>
      <c r="B29" s="60"/>
      <c r="C29" s="43"/>
      <c r="D29" s="43"/>
      <c r="E29" s="43"/>
      <c r="F29" s="310"/>
      <c r="G29" s="300"/>
      <c r="H29" s="221"/>
      <c r="I29" s="221"/>
      <c r="J29" s="266"/>
      <c r="K29" s="43"/>
      <c r="L29" s="43"/>
      <c r="M29" s="43"/>
      <c r="N29" s="43"/>
      <c r="O29" s="43"/>
      <c r="P29" s="43"/>
      <c r="Q29" s="43"/>
      <c r="R29" s="43"/>
      <c r="S29" s="43"/>
      <c r="T29" s="43"/>
      <c r="U29" s="43"/>
      <c r="V29" s="43"/>
      <c r="W29" s="43"/>
      <c r="X29" s="43"/>
      <c r="Y29" s="43"/>
      <c r="Z29" s="43"/>
    </row>
    <row r="30" spans="1:26" ht="19.5" customHeight="1" x14ac:dyDescent="0.25">
      <c r="A30" s="43"/>
      <c r="B30" s="60"/>
      <c r="C30" s="43"/>
      <c r="D30" s="43"/>
      <c r="E30" s="43"/>
      <c r="F30" s="310"/>
      <c r="G30" s="300"/>
      <c r="H30" s="221"/>
      <c r="I30" s="221"/>
      <c r="J30" s="266"/>
      <c r="K30" s="43"/>
      <c r="L30" s="43"/>
      <c r="M30" s="43"/>
      <c r="N30" s="43"/>
      <c r="O30" s="43"/>
      <c r="P30" s="43"/>
      <c r="Q30" s="43"/>
      <c r="R30" s="43"/>
      <c r="S30" s="43"/>
      <c r="T30" s="43"/>
      <c r="U30" s="43"/>
      <c r="V30" s="43"/>
      <c r="W30" s="43"/>
      <c r="X30" s="43"/>
      <c r="Y30" s="43"/>
      <c r="Z30" s="43"/>
    </row>
    <row r="31" spans="1:26" ht="39.75" customHeight="1" x14ac:dyDescent="0.25">
      <c r="A31" s="43"/>
      <c r="B31" s="60"/>
      <c r="C31" s="43"/>
      <c r="D31" s="43"/>
      <c r="E31" s="43"/>
      <c r="F31" s="311"/>
      <c r="G31" s="301"/>
      <c r="H31" s="276"/>
      <c r="I31" s="276"/>
      <c r="J31" s="277"/>
      <c r="K31" s="43"/>
      <c r="L31" s="43"/>
      <c r="M31" s="43"/>
      <c r="N31" s="43"/>
      <c r="O31" s="43"/>
      <c r="P31" s="43"/>
      <c r="Q31" s="43"/>
      <c r="R31" s="43"/>
      <c r="S31" s="43"/>
      <c r="T31" s="43"/>
      <c r="U31" s="43"/>
      <c r="V31" s="43"/>
      <c r="W31" s="43"/>
      <c r="X31" s="43"/>
      <c r="Y31" s="43"/>
      <c r="Z31" s="43"/>
    </row>
    <row r="32" spans="1:26" ht="54.75" customHeight="1" x14ac:dyDescent="0.25">
      <c r="A32" s="43"/>
      <c r="B32" s="60"/>
      <c r="C32" s="43"/>
      <c r="D32" s="43"/>
      <c r="E32" s="43"/>
      <c r="F32" s="65" t="s">
        <v>0</v>
      </c>
      <c r="G32" s="302">
        <f>+'CONF '!$B$3</f>
        <v>0</v>
      </c>
      <c r="H32" s="303"/>
      <c r="I32" s="223"/>
      <c r="J32" s="67"/>
      <c r="K32" s="43"/>
      <c r="L32" s="43"/>
      <c r="M32" s="43"/>
      <c r="N32" s="43"/>
      <c r="O32" s="43"/>
      <c r="P32" s="43"/>
      <c r="Q32" s="43"/>
      <c r="R32" s="43"/>
      <c r="S32" s="43"/>
      <c r="T32" s="43"/>
      <c r="U32" s="43"/>
      <c r="V32" s="43"/>
      <c r="W32" s="43"/>
      <c r="X32" s="43"/>
      <c r="Y32" s="43"/>
      <c r="Z32" s="43"/>
    </row>
    <row r="33" spans="1:26" ht="14.25" customHeight="1" x14ac:dyDescent="0.25">
      <c r="A33" s="43"/>
      <c r="B33" s="60"/>
      <c r="C33" s="43"/>
      <c r="D33" s="43"/>
      <c r="E33" s="43"/>
      <c r="F33" s="61" t="s">
        <v>38</v>
      </c>
      <c r="G33" s="304">
        <f>+'CONF '!$D$2</f>
        <v>2</v>
      </c>
      <c r="H33" s="303"/>
      <c r="I33" s="223"/>
      <c r="J33" s="64"/>
      <c r="K33" s="43"/>
      <c r="L33" s="43"/>
      <c r="M33" s="43"/>
      <c r="N33" s="43"/>
      <c r="O33" s="43"/>
      <c r="P33" s="43"/>
      <c r="Q33" s="43"/>
      <c r="R33" s="43"/>
      <c r="S33" s="43"/>
      <c r="T33" s="43"/>
      <c r="U33" s="43"/>
      <c r="V33" s="43"/>
      <c r="W33" s="43"/>
      <c r="X33" s="43"/>
      <c r="Y33" s="43"/>
      <c r="Z33" s="43"/>
    </row>
    <row r="34" spans="1:26" ht="14.25" customHeight="1" x14ac:dyDescent="0.25">
      <c r="A34" s="43"/>
      <c r="B34" s="60"/>
      <c r="C34" s="43"/>
      <c r="D34" s="43"/>
      <c r="E34" s="43"/>
      <c r="F34" s="61"/>
      <c r="G34" s="65"/>
      <c r="H34" s="65"/>
      <c r="I34" s="65"/>
      <c r="J34" s="66"/>
      <c r="K34" s="43"/>
      <c r="L34" s="43"/>
      <c r="M34" s="43"/>
      <c r="N34" s="43"/>
      <c r="O34" s="43"/>
      <c r="P34" s="43"/>
      <c r="Q34" s="43"/>
      <c r="R34" s="43"/>
      <c r="S34" s="43"/>
      <c r="T34" s="43"/>
      <c r="U34" s="43"/>
      <c r="V34" s="43"/>
      <c r="W34" s="43"/>
      <c r="X34" s="43"/>
      <c r="Y34" s="43"/>
      <c r="Z34" s="43"/>
    </row>
    <row r="35" spans="1:26" ht="14.25" customHeight="1" x14ac:dyDescent="0.25">
      <c r="A35" s="43"/>
      <c r="B35" s="60"/>
      <c r="C35" s="43"/>
      <c r="D35" s="43"/>
      <c r="E35" s="43"/>
      <c r="F35" s="305" t="s">
        <v>39</v>
      </c>
      <c r="G35" s="223"/>
      <c r="H35" s="68">
        <f>+'CONF '!D46</f>
        <v>0</v>
      </c>
      <c r="I35" s="43"/>
      <c r="J35" s="69"/>
      <c r="K35" s="43"/>
      <c r="L35" s="43"/>
      <c r="M35" s="43"/>
      <c r="N35" s="43"/>
      <c r="O35" s="43"/>
      <c r="P35" s="43"/>
      <c r="Q35" s="43"/>
      <c r="R35" s="43"/>
      <c r="S35" s="43"/>
      <c r="T35" s="43"/>
      <c r="U35" s="43"/>
      <c r="V35" s="43"/>
      <c r="W35" s="43"/>
      <c r="X35" s="43"/>
      <c r="Y35" s="43"/>
      <c r="Z35" s="43"/>
    </row>
    <row r="36" spans="1:26" ht="15" customHeight="1" x14ac:dyDescent="0.25">
      <c r="A36" s="43"/>
      <c r="B36" s="60"/>
      <c r="C36" s="43"/>
      <c r="D36" s="43"/>
      <c r="E36" s="43"/>
      <c r="F36" s="305" t="s">
        <v>40</v>
      </c>
      <c r="G36" s="223"/>
      <c r="H36" s="68">
        <f>+VLOOKUP(G26,'TARIFAS '!$A$3:$O$239,8,FALSE)*G33</f>
        <v>0</v>
      </c>
      <c r="I36" s="43"/>
      <c r="J36" s="66"/>
      <c r="K36" s="43"/>
      <c r="L36" s="43"/>
      <c r="M36" s="43"/>
      <c r="N36" s="43"/>
      <c r="O36" s="43"/>
      <c r="P36" s="43"/>
      <c r="Q36" s="43"/>
      <c r="R36" s="43"/>
      <c r="S36" s="43"/>
      <c r="T36" s="43"/>
      <c r="U36" s="43"/>
      <c r="V36" s="43"/>
      <c r="W36" s="43"/>
      <c r="X36" s="43"/>
      <c r="Y36" s="43"/>
      <c r="Z36" s="43"/>
    </row>
    <row r="37" spans="1:26" ht="14.25" customHeight="1" x14ac:dyDescent="0.25">
      <c r="A37" s="43"/>
      <c r="B37" s="60"/>
      <c r="C37" s="43"/>
      <c r="D37" s="43"/>
      <c r="E37" s="43"/>
      <c r="F37" s="306"/>
      <c r="G37" s="223"/>
      <c r="H37" s="65"/>
      <c r="I37" s="65"/>
      <c r="J37" s="66"/>
      <c r="K37" s="43"/>
      <c r="L37" s="43"/>
      <c r="M37" s="43"/>
      <c r="N37" s="43"/>
      <c r="O37" s="43"/>
      <c r="P37" s="43"/>
      <c r="Q37" s="43"/>
      <c r="R37" s="43"/>
      <c r="S37" s="43"/>
      <c r="T37" s="43"/>
      <c r="U37" s="43"/>
      <c r="V37" s="43"/>
      <c r="W37" s="43"/>
      <c r="X37" s="43"/>
      <c r="Y37" s="43"/>
      <c r="Z37" s="43"/>
    </row>
    <row r="38" spans="1:26" ht="14.25" customHeight="1" x14ac:dyDescent="0.25">
      <c r="A38" s="43"/>
      <c r="B38" s="70"/>
      <c r="C38" s="71"/>
      <c r="D38" s="71"/>
      <c r="E38" s="71"/>
      <c r="F38" s="72"/>
      <c r="G38" s="72"/>
      <c r="H38" s="72"/>
      <c r="I38" s="72"/>
      <c r="J38" s="73"/>
      <c r="K38" s="43"/>
      <c r="L38" s="43"/>
      <c r="M38" s="43"/>
      <c r="N38" s="43"/>
      <c r="O38" s="43"/>
      <c r="P38" s="43"/>
      <c r="Q38" s="43"/>
      <c r="R38" s="43"/>
      <c r="S38" s="43"/>
      <c r="T38" s="43"/>
      <c r="U38" s="43"/>
      <c r="V38" s="43"/>
      <c r="W38" s="43"/>
      <c r="X38" s="43"/>
      <c r="Y38" s="43"/>
      <c r="Z38" s="43"/>
    </row>
    <row r="39" spans="1:26" ht="14.25" customHeight="1" x14ac:dyDescent="0.25">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ht="14.25" customHeight="1" x14ac:dyDescent="0.25">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4.25" customHeight="1" x14ac:dyDescent="0.25">
      <c r="A41" s="43"/>
      <c r="B41" s="74"/>
      <c r="C41" s="75"/>
      <c r="D41" s="75"/>
      <c r="E41" s="75"/>
      <c r="F41" s="75"/>
      <c r="G41" s="75"/>
      <c r="H41" s="75"/>
      <c r="I41" s="75"/>
      <c r="J41" s="76"/>
      <c r="K41" s="43"/>
      <c r="L41" s="43"/>
      <c r="M41" s="43"/>
      <c r="N41" s="43"/>
      <c r="O41" s="43"/>
      <c r="P41" s="43"/>
      <c r="Q41" s="43"/>
      <c r="R41" s="43"/>
      <c r="S41" s="43"/>
      <c r="T41" s="43"/>
      <c r="U41" s="43"/>
      <c r="V41" s="43"/>
      <c r="W41" s="43"/>
      <c r="X41" s="43"/>
      <c r="Y41" s="43"/>
      <c r="Z41" s="43"/>
    </row>
    <row r="42" spans="1:26" ht="14.25" customHeight="1" x14ac:dyDescent="0.25">
      <c r="A42" s="43"/>
      <c r="B42" s="60"/>
      <c r="C42" s="43"/>
      <c r="D42" s="43"/>
      <c r="E42" s="43"/>
      <c r="F42" s="43"/>
      <c r="G42" s="43"/>
      <c r="H42" s="43"/>
      <c r="I42" s="43"/>
      <c r="J42" s="77"/>
      <c r="K42" s="43"/>
      <c r="L42" s="43"/>
      <c r="M42" s="43"/>
      <c r="N42" s="43"/>
      <c r="O42" s="43"/>
      <c r="P42" s="43"/>
      <c r="Q42" s="43"/>
      <c r="R42" s="43"/>
      <c r="S42" s="43"/>
      <c r="T42" s="43"/>
      <c r="U42" s="43"/>
      <c r="V42" s="43"/>
      <c r="W42" s="43"/>
      <c r="X42" s="43"/>
      <c r="Y42" s="43"/>
      <c r="Z42" s="43"/>
    </row>
    <row r="43" spans="1:26" ht="18.75" customHeight="1" x14ac:dyDescent="0.25">
      <c r="A43" s="43"/>
      <c r="B43" s="60"/>
      <c r="C43" s="43"/>
      <c r="D43" s="43"/>
      <c r="E43" s="43"/>
      <c r="F43" s="61" t="s">
        <v>28</v>
      </c>
      <c r="G43" s="307">
        <f>+'CONF '!A7</f>
        <v>45784</v>
      </c>
      <c r="H43" s="303"/>
      <c r="I43" s="223"/>
      <c r="J43" s="62"/>
      <c r="K43" s="43"/>
      <c r="L43" s="43"/>
      <c r="M43" s="43"/>
      <c r="N43" s="43"/>
      <c r="O43" s="43"/>
      <c r="P43" s="43"/>
      <c r="Q43" s="43"/>
      <c r="R43" s="43"/>
      <c r="S43" s="43"/>
      <c r="T43" s="43"/>
      <c r="U43" s="43"/>
      <c r="V43" s="43"/>
      <c r="W43" s="43"/>
      <c r="X43" s="43"/>
      <c r="Y43" s="43"/>
      <c r="Z43" s="43"/>
    </row>
    <row r="44" spans="1:26" ht="9" customHeight="1" x14ac:dyDescent="0.25">
      <c r="A44" s="43"/>
      <c r="B44" s="60"/>
      <c r="C44" s="43"/>
      <c r="D44" s="43"/>
      <c r="E44" s="43"/>
      <c r="F44" s="61"/>
      <c r="G44" s="63"/>
      <c r="H44" s="63"/>
      <c r="I44" s="63"/>
      <c r="J44" s="62"/>
      <c r="K44" s="43"/>
      <c r="L44" s="43"/>
      <c r="M44" s="43"/>
      <c r="N44" s="43"/>
      <c r="O44" s="43"/>
      <c r="P44" s="43"/>
      <c r="Q44" s="43"/>
      <c r="R44" s="43"/>
      <c r="S44" s="43"/>
      <c r="T44" s="43"/>
      <c r="U44" s="43"/>
      <c r="V44" s="43"/>
      <c r="W44" s="43"/>
      <c r="X44" s="43"/>
      <c r="Y44" s="43"/>
      <c r="Z44" s="43"/>
    </row>
    <row r="45" spans="1:26" ht="14.25" customHeight="1" x14ac:dyDescent="0.25">
      <c r="A45" s="43"/>
      <c r="B45" s="60"/>
      <c r="C45" s="43"/>
      <c r="D45" s="43"/>
      <c r="E45" s="43"/>
      <c r="F45" s="61" t="s">
        <v>30</v>
      </c>
      <c r="G45" s="308" t="str">
        <f>+'CONF '!B7</f>
        <v>Bora Bora Bc</v>
      </c>
      <c r="H45" s="303"/>
      <c r="I45" s="223"/>
      <c r="J45" s="64"/>
      <c r="K45" s="43"/>
      <c r="L45" s="43"/>
      <c r="M45" s="43"/>
      <c r="N45" s="43"/>
      <c r="O45" s="43"/>
      <c r="P45" s="43"/>
      <c r="Q45" s="43"/>
      <c r="R45" s="43"/>
      <c r="S45" s="43"/>
      <c r="T45" s="43"/>
      <c r="U45" s="43"/>
      <c r="V45" s="43"/>
      <c r="W45" s="43"/>
      <c r="X45" s="43"/>
      <c r="Y45" s="43"/>
      <c r="Z45" s="43"/>
    </row>
    <row r="46" spans="1:26" ht="14.25" customHeight="1" x14ac:dyDescent="0.25">
      <c r="A46" s="43"/>
      <c r="B46" s="60"/>
      <c r="C46" s="43"/>
      <c r="D46" s="43"/>
      <c r="E46" s="43"/>
      <c r="F46" s="61"/>
      <c r="G46" s="65"/>
      <c r="H46" s="65"/>
      <c r="I46" s="65"/>
      <c r="J46" s="66"/>
      <c r="K46" s="43"/>
      <c r="L46" s="43"/>
      <c r="M46" s="43"/>
      <c r="N46" s="43"/>
      <c r="O46" s="43"/>
      <c r="P46" s="43"/>
      <c r="Q46" s="43"/>
      <c r="R46" s="43"/>
      <c r="S46" s="43"/>
      <c r="T46" s="43"/>
      <c r="U46" s="43"/>
      <c r="V46" s="43"/>
      <c r="W46" s="43"/>
      <c r="X46" s="43"/>
      <c r="Y46" s="43"/>
      <c r="Z46" s="43"/>
    </row>
    <row r="47" spans="1:26" ht="15" customHeight="1" x14ac:dyDescent="0.25">
      <c r="A47" s="43"/>
      <c r="B47" s="60"/>
      <c r="C47" s="43"/>
      <c r="D47" s="43"/>
      <c r="E47" s="43"/>
      <c r="F47" s="309" t="s">
        <v>37</v>
      </c>
      <c r="G47" s="299" t="str">
        <f>+VLOOKUP(G45,'TARIFAS '!$A$3:$N$239,7,FALSE)</f>
        <v xml:space="preserve">Apresentar-se  na porta 03 da Marina la Bodeguita. </v>
      </c>
      <c r="H47" s="279"/>
      <c r="I47" s="279"/>
      <c r="J47" s="280"/>
      <c r="K47" s="43"/>
      <c r="L47" s="43"/>
      <c r="M47" s="43"/>
      <c r="N47" s="43"/>
      <c r="O47" s="43"/>
      <c r="P47" s="43"/>
      <c r="Q47" s="43"/>
      <c r="R47" s="43"/>
      <c r="S47" s="43"/>
      <c r="T47" s="43"/>
      <c r="U47" s="43"/>
      <c r="V47" s="43"/>
      <c r="W47" s="43"/>
      <c r="X47" s="43"/>
      <c r="Y47" s="43"/>
      <c r="Z47" s="43"/>
    </row>
    <row r="48" spans="1:26" ht="9" customHeight="1" x14ac:dyDescent="0.25">
      <c r="A48" s="43"/>
      <c r="B48" s="60"/>
      <c r="C48" s="43"/>
      <c r="D48" s="43"/>
      <c r="E48" s="43"/>
      <c r="F48" s="310"/>
      <c r="G48" s="300"/>
      <c r="H48" s="221"/>
      <c r="I48" s="221"/>
      <c r="J48" s="266"/>
      <c r="K48" s="43"/>
      <c r="L48" s="43"/>
      <c r="M48" s="43"/>
      <c r="N48" s="43"/>
      <c r="O48" s="43"/>
      <c r="P48" s="43"/>
      <c r="Q48" s="43"/>
      <c r="R48" s="43"/>
      <c r="S48" s="43"/>
      <c r="T48" s="43"/>
      <c r="U48" s="43"/>
      <c r="V48" s="43"/>
      <c r="W48" s="43"/>
      <c r="X48" s="43"/>
      <c r="Y48" s="43"/>
      <c r="Z48" s="43"/>
    </row>
    <row r="49" spans="1:26" ht="19.5" customHeight="1" x14ac:dyDescent="0.25">
      <c r="A49" s="43"/>
      <c r="B49" s="60"/>
      <c r="C49" s="43"/>
      <c r="D49" s="43"/>
      <c r="E49" s="43"/>
      <c r="F49" s="310"/>
      <c r="G49" s="300"/>
      <c r="H49" s="221"/>
      <c r="I49" s="221"/>
      <c r="J49" s="266"/>
      <c r="K49" s="43"/>
      <c r="L49" s="43"/>
      <c r="M49" s="43"/>
      <c r="N49" s="43"/>
      <c r="O49" s="43"/>
      <c r="P49" s="43"/>
      <c r="Q49" s="43"/>
      <c r="R49" s="43"/>
      <c r="S49" s="43"/>
      <c r="T49" s="43"/>
      <c r="U49" s="43"/>
      <c r="V49" s="43"/>
      <c r="W49" s="43"/>
      <c r="X49" s="43"/>
      <c r="Y49" s="43"/>
      <c r="Z49" s="43"/>
    </row>
    <row r="50" spans="1:26" ht="39.75" customHeight="1" x14ac:dyDescent="0.25">
      <c r="A50" s="43"/>
      <c r="B50" s="60"/>
      <c r="C50" s="43"/>
      <c r="D50" s="43"/>
      <c r="E50" s="43"/>
      <c r="F50" s="311"/>
      <c r="G50" s="301"/>
      <c r="H50" s="276"/>
      <c r="I50" s="276"/>
      <c r="J50" s="277"/>
      <c r="K50" s="43"/>
      <c r="L50" s="43"/>
      <c r="M50" s="43"/>
      <c r="N50" s="43"/>
      <c r="O50" s="43"/>
      <c r="P50" s="43"/>
      <c r="Q50" s="43"/>
      <c r="R50" s="43"/>
      <c r="S50" s="43"/>
      <c r="T50" s="43"/>
      <c r="U50" s="43"/>
      <c r="V50" s="43"/>
      <c r="W50" s="43"/>
      <c r="X50" s="43"/>
      <c r="Y50" s="43"/>
      <c r="Z50" s="43"/>
    </row>
    <row r="51" spans="1:26" ht="54.75" customHeight="1" x14ac:dyDescent="0.25">
      <c r="A51" s="43"/>
      <c r="B51" s="60"/>
      <c r="C51" s="43"/>
      <c r="D51" s="43"/>
      <c r="E51" s="43"/>
      <c r="F51" s="65" t="s">
        <v>0</v>
      </c>
      <c r="G51" s="302">
        <f>+'CONF '!$B$3</f>
        <v>0</v>
      </c>
      <c r="H51" s="303"/>
      <c r="I51" s="223"/>
      <c r="J51" s="67"/>
      <c r="K51" s="43"/>
      <c r="L51" s="43"/>
      <c r="M51" s="43"/>
      <c r="N51" s="43"/>
      <c r="O51" s="43"/>
      <c r="P51" s="43"/>
      <c r="Q51" s="43"/>
      <c r="R51" s="43"/>
      <c r="S51" s="43"/>
      <c r="T51" s="43"/>
      <c r="U51" s="43"/>
      <c r="V51" s="43"/>
      <c r="W51" s="43"/>
      <c r="X51" s="43"/>
      <c r="Y51" s="43"/>
      <c r="Z51" s="43"/>
    </row>
    <row r="52" spans="1:26" ht="14.25" customHeight="1" x14ac:dyDescent="0.25">
      <c r="A52" s="43"/>
      <c r="B52" s="60"/>
      <c r="C52" s="43"/>
      <c r="D52" s="43"/>
      <c r="E52" s="43"/>
      <c r="F52" s="61" t="s">
        <v>38</v>
      </c>
      <c r="G52" s="304">
        <f>+'CONF '!$D$2</f>
        <v>2</v>
      </c>
      <c r="H52" s="303"/>
      <c r="I52" s="223"/>
      <c r="J52" s="64"/>
      <c r="K52" s="43"/>
      <c r="L52" s="43"/>
      <c r="M52" s="43"/>
      <c r="N52" s="43"/>
      <c r="O52" s="43"/>
      <c r="P52" s="43"/>
      <c r="Q52" s="43"/>
      <c r="R52" s="43"/>
      <c r="S52" s="43"/>
      <c r="T52" s="43"/>
      <c r="U52" s="43"/>
      <c r="V52" s="43"/>
      <c r="W52" s="43"/>
      <c r="X52" s="43"/>
      <c r="Y52" s="43"/>
      <c r="Z52" s="43"/>
    </row>
    <row r="53" spans="1:26" ht="14.25" customHeight="1" x14ac:dyDescent="0.25">
      <c r="A53" s="43"/>
      <c r="B53" s="60"/>
      <c r="C53" s="43"/>
      <c r="D53" s="43"/>
      <c r="E53" s="43"/>
      <c r="F53" s="61"/>
      <c r="G53" s="65"/>
      <c r="H53" s="65"/>
      <c r="I53" s="65"/>
      <c r="J53" s="66"/>
      <c r="K53" s="43"/>
      <c r="L53" s="43"/>
      <c r="M53" s="43"/>
      <c r="N53" s="43"/>
      <c r="O53" s="43"/>
      <c r="P53" s="43"/>
      <c r="Q53" s="43"/>
      <c r="R53" s="43"/>
      <c r="S53" s="43"/>
      <c r="T53" s="43"/>
      <c r="U53" s="43"/>
      <c r="V53" s="43"/>
      <c r="W53" s="43"/>
      <c r="X53" s="43"/>
      <c r="Y53" s="43"/>
      <c r="Z53" s="43"/>
    </row>
    <row r="54" spans="1:26" ht="14.25" customHeight="1" x14ac:dyDescent="0.25">
      <c r="A54" s="43"/>
      <c r="B54" s="60"/>
      <c r="C54" s="43"/>
      <c r="D54" s="43"/>
      <c r="E54" s="43"/>
      <c r="F54" s="305" t="s">
        <v>39</v>
      </c>
      <c r="G54" s="223"/>
      <c r="H54" s="68">
        <f>+'CONF '!D47</f>
        <v>560000</v>
      </c>
      <c r="I54" s="43"/>
      <c r="J54" s="69"/>
      <c r="K54" s="43"/>
      <c r="L54" s="43"/>
      <c r="M54" s="43"/>
      <c r="N54" s="43"/>
      <c r="O54" s="43"/>
      <c r="P54" s="43"/>
      <c r="Q54" s="43"/>
      <c r="R54" s="43"/>
      <c r="S54" s="43"/>
      <c r="T54" s="43"/>
      <c r="U54" s="43"/>
      <c r="V54" s="43"/>
      <c r="W54" s="43"/>
      <c r="X54" s="43"/>
      <c r="Y54" s="43"/>
      <c r="Z54" s="43"/>
    </row>
    <row r="55" spans="1:26" ht="15" customHeight="1" x14ac:dyDescent="0.25">
      <c r="A55" s="43"/>
      <c r="B55" s="60"/>
      <c r="C55" s="43"/>
      <c r="D55" s="43"/>
      <c r="E55" s="43"/>
      <c r="F55" s="305" t="s">
        <v>40</v>
      </c>
      <c r="G55" s="223"/>
      <c r="H55" s="68">
        <f>+VLOOKUP(G45,'TARIFAS '!$A$3:$O$239,8,FALSE)*G52</f>
        <v>68000</v>
      </c>
      <c r="I55" s="43"/>
      <c r="J55" s="66"/>
      <c r="K55" s="43"/>
      <c r="L55" s="43"/>
      <c r="M55" s="43"/>
      <c r="N55" s="43"/>
      <c r="O55" s="43"/>
      <c r="P55" s="43"/>
      <c r="Q55" s="43"/>
      <c r="R55" s="43"/>
      <c r="S55" s="43"/>
      <c r="T55" s="43"/>
      <c r="U55" s="43"/>
      <c r="V55" s="43"/>
      <c r="W55" s="43"/>
      <c r="X55" s="43"/>
      <c r="Y55" s="43"/>
      <c r="Z55" s="43"/>
    </row>
    <row r="56" spans="1:26" ht="14.25" customHeight="1" x14ac:dyDescent="0.25">
      <c r="A56" s="43"/>
      <c r="B56" s="60"/>
      <c r="C56" s="43"/>
      <c r="D56" s="43"/>
      <c r="E56" s="43"/>
      <c r="F56" s="306"/>
      <c r="G56" s="223"/>
      <c r="H56" s="65"/>
      <c r="I56" s="65"/>
      <c r="J56" s="66"/>
      <c r="K56" s="43"/>
      <c r="L56" s="43"/>
      <c r="M56" s="43"/>
      <c r="N56" s="43"/>
      <c r="O56" s="43"/>
      <c r="P56" s="43"/>
      <c r="Q56" s="43"/>
      <c r="R56" s="43"/>
      <c r="S56" s="43"/>
      <c r="T56" s="43"/>
      <c r="U56" s="43"/>
      <c r="V56" s="43"/>
      <c r="W56" s="43"/>
      <c r="X56" s="43"/>
      <c r="Y56" s="43"/>
      <c r="Z56" s="43"/>
    </row>
    <row r="57" spans="1:26" ht="14.25" customHeight="1" x14ac:dyDescent="0.25">
      <c r="A57" s="43"/>
      <c r="B57" s="70"/>
      <c r="C57" s="71"/>
      <c r="D57" s="71"/>
      <c r="E57" s="71"/>
      <c r="F57" s="72"/>
      <c r="G57" s="72"/>
      <c r="H57" s="72"/>
      <c r="I57" s="72"/>
      <c r="J57" s="73"/>
      <c r="K57" s="43"/>
      <c r="L57" s="43"/>
      <c r="M57" s="43"/>
      <c r="N57" s="43"/>
      <c r="O57" s="43"/>
      <c r="P57" s="43"/>
      <c r="Q57" s="43"/>
      <c r="R57" s="43"/>
      <c r="S57" s="43"/>
      <c r="T57" s="43"/>
      <c r="U57" s="43"/>
      <c r="V57" s="43"/>
      <c r="W57" s="43"/>
      <c r="X57" s="43"/>
      <c r="Y57" s="43"/>
      <c r="Z57" s="43"/>
    </row>
    <row r="58" spans="1:26" ht="14.25" customHeight="1" x14ac:dyDescent="0.25">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ht="14.25" customHeight="1" x14ac:dyDescent="0.25">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4.25" customHeight="1" x14ac:dyDescent="0.25">
      <c r="A60" s="43"/>
      <c r="B60" s="74"/>
      <c r="C60" s="75"/>
      <c r="D60" s="75"/>
      <c r="E60" s="75"/>
      <c r="F60" s="75"/>
      <c r="G60" s="75"/>
      <c r="H60" s="75"/>
      <c r="I60" s="75"/>
      <c r="J60" s="76"/>
      <c r="K60" s="43"/>
      <c r="L60" s="43"/>
      <c r="M60" s="43"/>
      <c r="N60" s="43"/>
      <c r="O60" s="43"/>
      <c r="P60" s="43"/>
      <c r="Q60" s="43"/>
      <c r="R60" s="43"/>
      <c r="S60" s="43"/>
      <c r="T60" s="43"/>
      <c r="U60" s="43"/>
      <c r="V60" s="43"/>
      <c r="W60" s="43"/>
      <c r="X60" s="43"/>
      <c r="Y60" s="43"/>
      <c r="Z60" s="43"/>
    </row>
    <row r="61" spans="1:26" ht="14.25" customHeight="1" x14ac:dyDescent="0.25">
      <c r="A61" s="43"/>
      <c r="B61" s="60"/>
      <c r="C61" s="43"/>
      <c r="D61" s="43"/>
      <c r="E61" s="43"/>
      <c r="F61" s="43"/>
      <c r="G61" s="43"/>
      <c r="H61" s="43"/>
      <c r="I61" s="43"/>
      <c r="J61" s="77"/>
      <c r="K61" s="43"/>
      <c r="L61" s="43"/>
      <c r="M61" s="43"/>
      <c r="N61" s="43"/>
      <c r="O61" s="43"/>
      <c r="P61" s="43"/>
      <c r="Q61" s="43"/>
      <c r="R61" s="43"/>
      <c r="S61" s="43"/>
      <c r="T61" s="43"/>
      <c r="U61" s="43"/>
      <c r="V61" s="43"/>
      <c r="W61" s="43"/>
      <c r="X61" s="43"/>
      <c r="Y61" s="43"/>
      <c r="Z61" s="43"/>
    </row>
    <row r="62" spans="1:26" ht="18.75" customHeight="1" x14ac:dyDescent="0.25">
      <c r="A62" s="43"/>
      <c r="B62" s="60"/>
      <c r="C62" s="43"/>
      <c r="D62" s="43"/>
      <c r="E62" s="43"/>
      <c r="F62" s="61" t="s">
        <v>28</v>
      </c>
      <c r="G62" s="307">
        <f>+'CONF '!A8</f>
        <v>45785</v>
      </c>
      <c r="H62" s="303"/>
      <c r="I62" s="223"/>
      <c r="J62" s="62"/>
      <c r="K62" s="43"/>
      <c r="L62" s="43"/>
      <c r="M62" s="43"/>
      <c r="N62" s="43"/>
      <c r="O62" s="43"/>
      <c r="P62" s="43"/>
      <c r="Q62" s="43"/>
      <c r="R62" s="43"/>
      <c r="S62" s="43"/>
      <c r="T62" s="43"/>
      <c r="U62" s="43"/>
      <c r="V62" s="43"/>
      <c r="W62" s="43"/>
      <c r="X62" s="43"/>
      <c r="Y62" s="43"/>
      <c r="Z62" s="43"/>
    </row>
    <row r="63" spans="1:26" ht="9" customHeight="1" x14ac:dyDescent="0.25">
      <c r="A63" s="43"/>
      <c r="B63" s="60"/>
      <c r="C63" s="43"/>
      <c r="D63" s="43"/>
      <c r="E63" s="43"/>
      <c r="F63" s="61"/>
      <c r="G63" s="63"/>
      <c r="H63" s="63"/>
      <c r="I63" s="63"/>
      <c r="J63" s="62"/>
      <c r="K63" s="43"/>
      <c r="L63" s="43"/>
      <c r="M63" s="43"/>
      <c r="N63" s="43"/>
      <c r="O63" s="43"/>
      <c r="P63" s="43"/>
      <c r="Q63" s="43"/>
      <c r="R63" s="43"/>
      <c r="S63" s="43"/>
      <c r="T63" s="43"/>
      <c r="U63" s="43"/>
      <c r="V63" s="43"/>
      <c r="W63" s="43"/>
      <c r="X63" s="43"/>
      <c r="Y63" s="43"/>
      <c r="Z63" s="43"/>
    </row>
    <row r="64" spans="1:26" ht="14.25" customHeight="1" x14ac:dyDescent="0.25">
      <c r="A64" s="43"/>
      <c r="B64" s="60"/>
      <c r="C64" s="43"/>
      <c r="D64" s="43"/>
      <c r="E64" s="43"/>
      <c r="F64" s="61" t="s">
        <v>30</v>
      </c>
      <c r="G64" s="308" t="str">
        <f>+'CONF '!B8</f>
        <v>Walking Tour + Castillo San Felipe 09:00 1PAX</v>
      </c>
      <c r="H64" s="303"/>
      <c r="I64" s="223"/>
      <c r="J64" s="64"/>
      <c r="K64" s="43"/>
      <c r="L64" s="43"/>
      <c r="M64" s="43"/>
      <c r="N64" s="43"/>
      <c r="O64" s="43"/>
      <c r="P64" s="43"/>
      <c r="Q64" s="43"/>
      <c r="R64" s="43"/>
      <c r="S64" s="43"/>
      <c r="T64" s="43"/>
      <c r="U64" s="43"/>
      <c r="V64" s="43"/>
      <c r="W64" s="43"/>
      <c r="X64" s="43"/>
      <c r="Y64" s="43"/>
      <c r="Z64" s="43"/>
    </row>
    <row r="65" spans="1:26" ht="14.25" customHeight="1" x14ac:dyDescent="0.25">
      <c r="A65" s="43"/>
      <c r="B65" s="60"/>
      <c r="C65" s="43"/>
      <c r="D65" s="43"/>
      <c r="E65" s="43"/>
      <c r="F65" s="61"/>
      <c r="G65" s="65"/>
      <c r="H65" s="65"/>
      <c r="I65" s="65"/>
      <c r="J65" s="66"/>
      <c r="K65" s="43"/>
      <c r="L65" s="43"/>
      <c r="M65" s="43"/>
      <c r="N65" s="43"/>
      <c r="O65" s="43"/>
      <c r="P65" s="43"/>
      <c r="Q65" s="43"/>
      <c r="R65" s="43"/>
      <c r="S65" s="43"/>
      <c r="T65" s="43"/>
      <c r="U65" s="43"/>
      <c r="V65" s="43"/>
      <c r="W65" s="43"/>
      <c r="X65" s="43"/>
      <c r="Y65" s="43"/>
      <c r="Z65" s="43"/>
    </row>
    <row r="66" spans="1:26" ht="15" customHeight="1" x14ac:dyDescent="0.25">
      <c r="A66" s="43"/>
      <c r="B66" s="60"/>
      <c r="C66" s="43"/>
      <c r="D66" s="43"/>
      <c r="E66" s="43"/>
      <c r="F66" s="309" t="s">
        <v>37</v>
      </c>
      <c r="G66" s="299" t="str">
        <f>+VLOOKUP(G64,'TARIFAS '!$A$3:$N$239,7,FALSE)</f>
        <v>Apresentar-se  na recepção do hotel</v>
      </c>
      <c r="H66" s="279"/>
      <c r="I66" s="279"/>
      <c r="J66" s="280"/>
      <c r="K66" s="43"/>
      <c r="L66" s="43"/>
      <c r="M66" s="43"/>
      <c r="N66" s="43"/>
      <c r="O66" s="43"/>
      <c r="P66" s="43"/>
      <c r="Q66" s="43"/>
      <c r="R66" s="43"/>
      <c r="S66" s="43"/>
      <c r="T66" s="43"/>
      <c r="U66" s="43"/>
      <c r="V66" s="43"/>
      <c r="W66" s="43"/>
      <c r="X66" s="43"/>
      <c r="Y66" s="43"/>
      <c r="Z66" s="43"/>
    </row>
    <row r="67" spans="1:26" ht="9" customHeight="1" x14ac:dyDescent="0.25">
      <c r="A67" s="43"/>
      <c r="B67" s="60"/>
      <c r="C67" s="43"/>
      <c r="D67" s="43"/>
      <c r="E67" s="43"/>
      <c r="F67" s="310"/>
      <c r="G67" s="300"/>
      <c r="H67" s="221"/>
      <c r="I67" s="221"/>
      <c r="J67" s="266"/>
      <c r="K67" s="43"/>
      <c r="L67" s="43"/>
      <c r="M67" s="43"/>
      <c r="N67" s="43"/>
      <c r="O67" s="43"/>
      <c r="P67" s="43"/>
      <c r="Q67" s="43"/>
      <c r="R67" s="43"/>
      <c r="S67" s="43"/>
      <c r="T67" s="43"/>
      <c r="U67" s="43"/>
      <c r="V67" s="43"/>
      <c r="W67" s="43"/>
      <c r="X67" s="43"/>
      <c r="Y67" s="43"/>
      <c r="Z67" s="43"/>
    </row>
    <row r="68" spans="1:26" ht="19.5" customHeight="1" x14ac:dyDescent="0.25">
      <c r="A68" s="43"/>
      <c r="B68" s="60"/>
      <c r="C68" s="43"/>
      <c r="D68" s="43"/>
      <c r="E68" s="43"/>
      <c r="F68" s="310"/>
      <c r="G68" s="300"/>
      <c r="H68" s="221"/>
      <c r="I68" s="221"/>
      <c r="J68" s="266"/>
      <c r="K68" s="43"/>
      <c r="L68" s="43"/>
      <c r="M68" s="43"/>
      <c r="N68" s="43"/>
      <c r="O68" s="43"/>
      <c r="P68" s="43"/>
      <c r="Q68" s="43"/>
      <c r="R68" s="43"/>
      <c r="S68" s="43"/>
      <c r="T68" s="43"/>
      <c r="U68" s="43"/>
      <c r="V68" s="43"/>
      <c r="W68" s="43"/>
      <c r="X68" s="43"/>
      <c r="Y68" s="43"/>
      <c r="Z68" s="43"/>
    </row>
    <row r="69" spans="1:26" ht="39.75" customHeight="1" x14ac:dyDescent="0.25">
      <c r="A69" s="43"/>
      <c r="B69" s="60"/>
      <c r="C69" s="43"/>
      <c r="D69" s="43"/>
      <c r="E69" s="43"/>
      <c r="F69" s="311"/>
      <c r="G69" s="301"/>
      <c r="H69" s="276"/>
      <c r="I69" s="276"/>
      <c r="J69" s="277"/>
      <c r="K69" s="43"/>
      <c r="L69" s="43"/>
      <c r="M69" s="43"/>
      <c r="N69" s="43"/>
      <c r="O69" s="43"/>
      <c r="P69" s="43"/>
      <c r="Q69" s="43"/>
      <c r="R69" s="43"/>
      <c r="S69" s="43"/>
      <c r="T69" s="43"/>
      <c r="U69" s="43"/>
      <c r="V69" s="43"/>
      <c r="W69" s="43"/>
      <c r="X69" s="43"/>
      <c r="Y69" s="43"/>
      <c r="Z69" s="43"/>
    </row>
    <row r="70" spans="1:26" ht="54.75" customHeight="1" x14ac:dyDescent="0.25">
      <c r="A70" s="43"/>
      <c r="B70" s="60"/>
      <c r="C70" s="43"/>
      <c r="D70" s="43"/>
      <c r="E70" s="43"/>
      <c r="F70" s="65" t="s">
        <v>0</v>
      </c>
      <c r="G70" s="302">
        <f>+'CONF '!$B$3</f>
        <v>0</v>
      </c>
      <c r="H70" s="303"/>
      <c r="I70" s="223"/>
      <c r="J70" s="67"/>
      <c r="K70" s="43"/>
      <c r="L70" s="43"/>
      <c r="M70" s="43"/>
      <c r="N70" s="43"/>
      <c r="O70" s="43"/>
      <c r="P70" s="43"/>
      <c r="Q70" s="43"/>
      <c r="R70" s="43"/>
      <c r="S70" s="43"/>
      <c r="T70" s="43"/>
      <c r="U70" s="43"/>
      <c r="V70" s="43"/>
      <c r="W70" s="43"/>
      <c r="X70" s="43"/>
      <c r="Y70" s="43"/>
      <c r="Z70" s="43"/>
    </row>
    <row r="71" spans="1:26" ht="14.25" customHeight="1" x14ac:dyDescent="0.25">
      <c r="A71" s="43"/>
      <c r="B71" s="60"/>
      <c r="C71" s="43"/>
      <c r="D71" s="43"/>
      <c r="E71" s="43"/>
      <c r="F71" s="61" t="s">
        <v>38</v>
      </c>
      <c r="G71" s="304">
        <f>+'CONF '!$D$2</f>
        <v>2</v>
      </c>
      <c r="H71" s="303"/>
      <c r="I71" s="223"/>
      <c r="J71" s="64"/>
      <c r="K71" s="43"/>
      <c r="L71" s="43"/>
      <c r="M71" s="43"/>
      <c r="N71" s="43"/>
      <c r="O71" s="43"/>
      <c r="P71" s="43"/>
      <c r="Q71" s="43"/>
      <c r="R71" s="43"/>
      <c r="S71" s="43"/>
      <c r="T71" s="43"/>
      <c r="U71" s="43"/>
      <c r="V71" s="43"/>
      <c r="W71" s="43"/>
      <c r="X71" s="43"/>
      <c r="Y71" s="43"/>
      <c r="Z71" s="43"/>
    </row>
    <row r="72" spans="1:26" ht="14.25" customHeight="1" x14ac:dyDescent="0.25">
      <c r="A72" s="43"/>
      <c r="B72" s="60"/>
      <c r="C72" s="43"/>
      <c r="D72" s="43"/>
      <c r="E72" s="43"/>
      <c r="F72" s="61"/>
      <c r="G72" s="65"/>
      <c r="H72" s="65"/>
      <c r="I72" s="65"/>
      <c r="J72" s="66"/>
      <c r="K72" s="43"/>
      <c r="L72" s="43"/>
      <c r="M72" s="43"/>
      <c r="N72" s="43"/>
      <c r="O72" s="43"/>
      <c r="P72" s="43"/>
      <c r="Q72" s="43"/>
      <c r="R72" s="43"/>
      <c r="S72" s="43"/>
      <c r="T72" s="43"/>
      <c r="U72" s="43"/>
      <c r="V72" s="43"/>
      <c r="W72" s="43"/>
      <c r="X72" s="43"/>
      <c r="Y72" s="43"/>
      <c r="Z72" s="43"/>
    </row>
    <row r="73" spans="1:26" ht="14.25" customHeight="1" x14ac:dyDescent="0.25">
      <c r="A73" s="43"/>
      <c r="B73" s="60"/>
      <c r="C73" s="43"/>
      <c r="D73" s="43"/>
      <c r="E73" s="43"/>
      <c r="F73" s="305" t="s">
        <v>39</v>
      </c>
      <c r="G73" s="223"/>
      <c r="H73" s="68">
        <f>+'CONF '!D48</f>
        <v>1000000</v>
      </c>
      <c r="I73" s="43"/>
      <c r="J73" s="69"/>
      <c r="K73" s="43"/>
      <c r="L73" s="43"/>
      <c r="M73" s="43"/>
      <c r="N73" s="43"/>
      <c r="O73" s="43"/>
      <c r="P73" s="43"/>
      <c r="Q73" s="43"/>
      <c r="R73" s="43"/>
      <c r="S73" s="43"/>
      <c r="T73" s="43"/>
      <c r="U73" s="43"/>
      <c r="V73" s="43"/>
      <c r="W73" s="43"/>
      <c r="X73" s="43"/>
      <c r="Y73" s="43"/>
      <c r="Z73" s="43"/>
    </row>
    <row r="74" spans="1:26" ht="15" customHeight="1" x14ac:dyDescent="0.25">
      <c r="A74" s="43"/>
      <c r="B74" s="60"/>
      <c r="C74" s="43"/>
      <c r="D74" s="43"/>
      <c r="E74" s="43"/>
      <c r="F74" s="305" t="s">
        <v>40</v>
      </c>
      <c r="G74" s="223"/>
      <c r="H74" s="68">
        <f>+VLOOKUP(G64,'TARIFAS '!$A$3:$O$239,8,FALSE)*G71</f>
        <v>0</v>
      </c>
      <c r="I74" s="43"/>
      <c r="J74" s="66"/>
      <c r="K74" s="43"/>
      <c r="L74" s="43"/>
      <c r="M74" s="43"/>
      <c r="N74" s="43"/>
      <c r="O74" s="43"/>
      <c r="P74" s="43"/>
      <c r="Q74" s="43"/>
      <c r="R74" s="43"/>
      <c r="S74" s="43"/>
      <c r="T74" s="43"/>
      <c r="U74" s="43"/>
      <c r="V74" s="43"/>
      <c r="W74" s="43"/>
      <c r="X74" s="43"/>
      <c r="Y74" s="43"/>
      <c r="Z74" s="43"/>
    </row>
    <row r="75" spans="1:26" ht="14.25" customHeight="1" x14ac:dyDescent="0.25">
      <c r="A75" s="43"/>
      <c r="B75" s="60"/>
      <c r="C75" s="43"/>
      <c r="D75" s="43"/>
      <c r="E75" s="43"/>
      <c r="F75" s="78"/>
      <c r="G75" s="78"/>
      <c r="H75" s="65"/>
      <c r="I75" s="65"/>
      <c r="J75" s="66"/>
      <c r="K75" s="43"/>
      <c r="L75" s="43"/>
      <c r="M75" s="43"/>
      <c r="N75" s="43"/>
      <c r="O75" s="43"/>
      <c r="P75" s="43"/>
      <c r="Q75" s="43"/>
      <c r="R75" s="43"/>
      <c r="S75" s="43"/>
      <c r="T75" s="43"/>
      <c r="U75" s="43"/>
      <c r="V75" s="43"/>
      <c r="W75" s="43"/>
      <c r="X75" s="43"/>
      <c r="Y75" s="43"/>
      <c r="Z75" s="43"/>
    </row>
    <row r="76" spans="1:26" ht="14.25" customHeight="1" x14ac:dyDescent="0.25">
      <c r="A76" s="43"/>
      <c r="B76" s="70"/>
      <c r="C76" s="71"/>
      <c r="D76" s="71"/>
      <c r="E76" s="71"/>
      <c r="F76" s="72"/>
      <c r="G76" s="72"/>
      <c r="H76" s="72"/>
      <c r="I76" s="72"/>
      <c r="J76" s="73"/>
      <c r="K76" s="43"/>
      <c r="L76" s="43"/>
      <c r="M76" s="43"/>
      <c r="N76" s="43"/>
      <c r="O76" s="43"/>
      <c r="P76" s="43"/>
      <c r="Q76" s="43"/>
      <c r="R76" s="43"/>
      <c r="S76" s="43"/>
      <c r="T76" s="43"/>
      <c r="U76" s="43"/>
      <c r="V76" s="43"/>
      <c r="W76" s="43"/>
      <c r="X76" s="43"/>
      <c r="Y76" s="43"/>
      <c r="Z76" s="43"/>
    </row>
    <row r="77" spans="1:26" ht="14.25" customHeight="1" x14ac:dyDescent="0.2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4.25" customHeight="1" x14ac:dyDescent="0.25">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4.25" customHeight="1" x14ac:dyDescent="0.25">
      <c r="A79" s="43"/>
      <c r="B79" s="74"/>
      <c r="C79" s="75"/>
      <c r="D79" s="75"/>
      <c r="E79" s="75"/>
      <c r="F79" s="75"/>
      <c r="G79" s="75"/>
      <c r="H79" s="75"/>
      <c r="I79" s="75"/>
      <c r="J79" s="76"/>
      <c r="K79" s="43"/>
      <c r="L79" s="43"/>
      <c r="M79" s="43"/>
      <c r="N79" s="43"/>
      <c r="O79" s="43"/>
      <c r="P79" s="43"/>
      <c r="Q79" s="43"/>
      <c r="R79" s="43"/>
      <c r="S79" s="43"/>
      <c r="T79" s="43"/>
      <c r="U79" s="43"/>
      <c r="V79" s="43"/>
      <c r="W79" s="43"/>
      <c r="X79" s="43"/>
      <c r="Y79" s="43"/>
      <c r="Z79" s="43"/>
    </row>
    <row r="80" spans="1:26" ht="14.25" customHeight="1" x14ac:dyDescent="0.25">
      <c r="A80" s="43"/>
      <c r="B80" s="60"/>
      <c r="C80" s="43"/>
      <c r="D80" s="43"/>
      <c r="E80" s="43"/>
      <c r="F80" s="43"/>
      <c r="G80" s="43"/>
      <c r="H80" s="43"/>
      <c r="I80" s="43"/>
      <c r="J80" s="77"/>
      <c r="K80" s="43"/>
      <c r="L80" s="43"/>
      <c r="M80" s="43"/>
      <c r="N80" s="43"/>
      <c r="O80" s="43"/>
      <c r="P80" s="43"/>
      <c r="Q80" s="43"/>
      <c r="R80" s="43"/>
      <c r="S80" s="43"/>
      <c r="T80" s="43"/>
      <c r="U80" s="43"/>
      <c r="V80" s="43"/>
      <c r="W80" s="43"/>
      <c r="X80" s="43"/>
      <c r="Y80" s="43"/>
      <c r="Z80" s="43"/>
    </row>
    <row r="81" spans="1:26" ht="18" customHeight="1" x14ac:dyDescent="0.25">
      <c r="A81" s="43"/>
      <c r="B81" s="60"/>
      <c r="C81" s="43"/>
      <c r="D81" s="43"/>
      <c r="E81" s="43"/>
      <c r="F81" s="61" t="s">
        <v>28</v>
      </c>
      <c r="G81" s="307">
        <f>+'CONF '!A9</f>
        <v>45786</v>
      </c>
      <c r="H81" s="303"/>
      <c r="I81" s="223"/>
      <c r="J81" s="62"/>
      <c r="K81" s="43"/>
      <c r="L81" s="43"/>
      <c r="M81" s="43"/>
      <c r="N81" s="43"/>
      <c r="O81" s="43"/>
      <c r="P81" s="43"/>
      <c r="Q81" s="43"/>
      <c r="R81" s="43"/>
      <c r="S81" s="43"/>
      <c r="T81" s="43"/>
      <c r="U81" s="43"/>
      <c r="V81" s="43"/>
      <c r="W81" s="43"/>
      <c r="X81" s="43"/>
      <c r="Y81" s="43"/>
      <c r="Z81" s="43"/>
    </row>
    <row r="82" spans="1:26" ht="9" customHeight="1" x14ac:dyDescent="0.25">
      <c r="A82" s="43"/>
      <c r="B82" s="60"/>
      <c r="C82" s="43"/>
      <c r="D82" s="43"/>
      <c r="E82" s="43"/>
      <c r="F82" s="61"/>
      <c r="G82" s="63"/>
      <c r="H82" s="63"/>
      <c r="I82" s="63"/>
      <c r="J82" s="62"/>
      <c r="K82" s="43"/>
      <c r="L82" s="43"/>
      <c r="M82" s="43"/>
      <c r="N82" s="43"/>
      <c r="O82" s="43"/>
      <c r="P82" s="43"/>
      <c r="Q82" s="43"/>
      <c r="R82" s="43"/>
      <c r="S82" s="43"/>
      <c r="T82" s="43"/>
      <c r="U82" s="43"/>
      <c r="V82" s="43"/>
      <c r="W82" s="43"/>
      <c r="X82" s="43"/>
      <c r="Y82" s="43"/>
      <c r="Z82" s="43"/>
    </row>
    <row r="83" spans="1:26" ht="14.25" customHeight="1" x14ac:dyDescent="0.25">
      <c r="A83" s="43"/>
      <c r="B83" s="60"/>
      <c r="C83" s="43"/>
      <c r="D83" s="43"/>
      <c r="E83" s="43"/>
      <c r="F83" s="61" t="s">
        <v>30</v>
      </c>
      <c r="G83" s="308" t="str">
        <f>+'CONF '!B9</f>
        <v>Isla Palma</v>
      </c>
      <c r="H83" s="303"/>
      <c r="I83" s="223"/>
      <c r="J83" s="64"/>
      <c r="K83" s="43"/>
      <c r="L83" s="43"/>
      <c r="M83" s="43"/>
      <c r="N83" s="43"/>
      <c r="O83" s="43"/>
      <c r="P83" s="43"/>
      <c r="Q83" s="43"/>
      <c r="R83" s="43"/>
      <c r="S83" s="43"/>
      <c r="T83" s="43"/>
      <c r="U83" s="43"/>
      <c r="V83" s="43"/>
      <c r="W83" s="43"/>
      <c r="X83" s="43"/>
      <c r="Y83" s="43"/>
      <c r="Z83" s="43"/>
    </row>
    <row r="84" spans="1:26" ht="14.25" customHeight="1" x14ac:dyDescent="0.25">
      <c r="A84" s="43"/>
      <c r="B84" s="60"/>
      <c r="C84" s="43"/>
      <c r="D84" s="43"/>
      <c r="E84" s="43"/>
      <c r="F84" s="61"/>
      <c r="G84" s="65"/>
      <c r="H84" s="65"/>
      <c r="I84" s="65"/>
      <c r="J84" s="66"/>
      <c r="K84" s="43"/>
      <c r="L84" s="43"/>
      <c r="M84" s="43"/>
      <c r="N84" s="43"/>
      <c r="O84" s="43"/>
      <c r="P84" s="43"/>
      <c r="Q84" s="43"/>
      <c r="R84" s="43"/>
      <c r="S84" s="43"/>
      <c r="T84" s="43"/>
      <c r="U84" s="43"/>
      <c r="V84" s="43"/>
      <c r="W84" s="43"/>
      <c r="X84" s="43"/>
      <c r="Y84" s="43"/>
      <c r="Z84" s="43"/>
    </row>
    <row r="85" spans="1:26" ht="15" customHeight="1" x14ac:dyDescent="0.25">
      <c r="A85" s="43"/>
      <c r="B85" s="60"/>
      <c r="C85" s="43"/>
      <c r="D85" s="43"/>
      <c r="E85" s="43"/>
      <c r="F85" s="309" t="s">
        <v>37</v>
      </c>
      <c r="G85" s="299" t="str">
        <f>+VLOOKUP(G83,'TARIFAS '!$A$3:$N$239,7,FALSE)</f>
        <v>Apresentar-se  na porta 02 da Marina la Bodeguita, onde a pessoa responsável pelo embarque e dará o suporte no embarque.</v>
      </c>
      <c r="H85" s="279"/>
      <c r="I85" s="279"/>
      <c r="J85" s="280"/>
      <c r="K85" s="43"/>
      <c r="L85" s="43"/>
      <c r="M85" s="43"/>
      <c r="N85" s="43"/>
      <c r="O85" s="43"/>
      <c r="P85" s="43"/>
      <c r="Q85" s="43"/>
      <c r="R85" s="43"/>
      <c r="S85" s="43"/>
      <c r="T85" s="43"/>
      <c r="U85" s="43"/>
      <c r="V85" s="43"/>
      <c r="W85" s="43"/>
      <c r="X85" s="43"/>
      <c r="Y85" s="43"/>
      <c r="Z85" s="43"/>
    </row>
    <row r="86" spans="1:26" ht="9" customHeight="1" x14ac:dyDescent="0.25">
      <c r="A86" s="43"/>
      <c r="B86" s="60"/>
      <c r="C86" s="43"/>
      <c r="D86" s="43"/>
      <c r="E86" s="43"/>
      <c r="F86" s="310"/>
      <c r="G86" s="300"/>
      <c r="H86" s="221"/>
      <c r="I86" s="221"/>
      <c r="J86" s="266"/>
      <c r="K86" s="43"/>
      <c r="L86" s="43"/>
      <c r="M86" s="43"/>
      <c r="N86" s="43"/>
      <c r="O86" s="43"/>
      <c r="P86" s="43"/>
      <c r="Q86" s="43"/>
      <c r="R86" s="43"/>
      <c r="S86" s="43"/>
      <c r="T86" s="43"/>
      <c r="U86" s="43"/>
      <c r="V86" s="43"/>
      <c r="W86" s="43"/>
      <c r="X86" s="43"/>
      <c r="Y86" s="43"/>
      <c r="Z86" s="43"/>
    </row>
    <row r="87" spans="1:26" ht="19.5" customHeight="1" x14ac:dyDescent="0.25">
      <c r="A87" s="43"/>
      <c r="B87" s="60"/>
      <c r="C87" s="43"/>
      <c r="D87" s="43"/>
      <c r="E87" s="43"/>
      <c r="F87" s="310"/>
      <c r="G87" s="300"/>
      <c r="H87" s="221"/>
      <c r="I87" s="221"/>
      <c r="J87" s="266"/>
      <c r="K87" s="43"/>
      <c r="L87" s="43"/>
      <c r="M87" s="43"/>
      <c r="N87" s="43"/>
      <c r="O87" s="43"/>
      <c r="P87" s="43"/>
      <c r="Q87" s="43"/>
      <c r="R87" s="43"/>
      <c r="S87" s="43"/>
      <c r="T87" s="43"/>
      <c r="U87" s="43"/>
      <c r="V87" s="43"/>
      <c r="W87" s="43"/>
      <c r="X87" s="43"/>
      <c r="Y87" s="43"/>
      <c r="Z87" s="43"/>
    </row>
    <row r="88" spans="1:26" ht="39.75" customHeight="1" x14ac:dyDescent="0.25">
      <c r="A88" s="43"/>
      <c r="B88" s="60"/>
      <c r="C88" s="43"/>
      <c r="D88" s="43"/>
      <c r="E88" s="43"/>
      <c r="F88" s="311"/>
      <c r="G88" s="301"/>
      <c r="H88" s="276"/>
      <c r="I88" s="276"/>
      <c r="J88" s="277"/>
      <c r="K88" s="43"/>
      <c r="L88" s="43"/>
      <c r="M88" s="43"/>
      <c r="N88" s="43"/>
      <c r="O88" s="43"/>
      <c r="P88" s="43"/>
      <c r="Q88" s="43"/>
      <c r="R88" s="43"/>
      <c r="S88" s="43"/>
      <c r="T88" s="43"/>
      <c r="U88" s="43"/>
      <c r="V88" s="43"/>
      <c r="W88" s="43"/>
      <c r="X88" s="43"/>
      <c r="Y88" s="43"/>
      <c r="Z88" s="43"/>
    </row>
    <row r="89" spans="1:26" ht="54.75" customHeight="1" x14ac:dyDescent="0.25">
      <c r="A89" s="43"/>
      <c r="B89" s="60"/>
      <c r="C89" s="43"/>
      <c r="D89" s="43"/>
      <c r="E89" s="43"/>
      <c r="F89" s="65" t="s">
        <v>0</v>
      </c>
      <c r="G89" s="302">
        <f>+'CONF '!$B$3</f>
        <v>0</v>
      </c>
      <c r="H89" s="303"/>
      <c r="I89" s="223"/>
      <c r="J89" s="67"/>
      <c r="K89" s="43"/>
      <c r="L89" s="43"/>
      <c r="M89" s="43"/>
      <c r="N89" s="43"/>
      <c r="O89" s="43"/>
      <c r="P89" s="43"/>
      <c r="Q89" s="43"/>
      <c r="R89" s="43"/>
      <c r="S89" s="43"/>
      <c r="T89" s="43"/>
      <c r="U89" s="43"/>
      <c r="V89" s="43"/>
      <c r="W89" s="43"/>
      <c r="X89" s="43"/>
      <c r="Y89" s="43"/>
      <c r="Z89" s="43"/>
    </row>
    <row r="90" spans="1:26" ht="14.25" customHeight="1" x14ac:dyDescent="0.25">
      <c r="A90" s="43"/>
      <c r="B90" s="60"/>
      <c r="C90" s="43"/>
      <c r="D90" s="43"/>
      <c r="E90" s="43"/>
      <c r="F90" s="61" t="s">
        <v>38</v>
      </c>
      <c r="G90" s="304">
        <f>+'CONF '!$D$2</f>
        <v>2</v>
      </c>
      <c r="H90" s="303"/>
      <c r="I90" s="223"/>
      <c r="J90" s="64"/>
      <c r="K90" s="43"/>
      <c r="L90" s="43"/>
      <c r="M90" s="43"/>
      <c r="N90" s="43"/>
      <c r="O90" s="43"/>
      <c r="P90" s="43"/>
      <c r="Q90" s="43"/>
      <c r="R90" s="43"/>
      <c r="S90" s="43"/>
      <c r="T90" s="43"/>
      <c r="U90" s="43"/>
      <c r="V90" s="43"/>
      <c r="W90" s="43"/>
      <c r="X90" s="43"/>
      <c r="Y90" s="43"/>
      <c r="Z90" s="43"/>
    </row>
    <row r="91" spans="1:26" ht="14.25" customHeight="1" x14ac:dyDescent="0.25">
      <c r="A91" s="43"/>
      <c r="B91" s="60"/>
      <c r="C91" s="43"/>
      <c r="D91" s="43"/>
      <c r="E91" s="43"/>
      <c r="F91" s="61"/>
      <c r="G91" s="65"/>
      <c r="H91" s="65"/>
      <c r="I91" s="65"/>
      <c r="J91" s="66"/>
      <c r="K91" s="43"/>
      <c r="L91" s="43"/>
      <c r="M91" s="43"/>
      <c r="N91" s="43"/>
      <c r="O91" s="43"/>
      <c r="P91" s="43"/>
      <c r="Q91" s="43"/>
      <c r="R91" s="43"/>
      <c r="S91" s="43"/>
      <c r="T91" s="43"/>
      <c r="U91" s="43"/>
      <c r="V91" s="43"/>
      <c r="W91" s="43"/>
      <c r="X91" s="43"/>
      <c r="Y91" s="43"/>
      <c r="Z91" s="43"/>
    </row>
    <row r="92" spans="1:26" ht="14.25" customHeight="1" x14ac:dyDescent="0.25">
      <c r="A92" s="43"/>
      <c r="B92" s="60"/>
      <c r="C92" s="43"/>
      <c r="D92" s="43"/>
      <c r="E92" s="43"/>
      <c r="F92" s="305" t="s">
        <v>39</v>
      </c>
      <c r="G92" s="223"/>
      <c r="H92" s="68">
        <f>+'CONF '!D49</f>
        <v>700000</v>
      </c>
      <c r="I92" s="43"/>
      <c r="J92" s="69"/>
      <c r="K92" s="43"/>
      <c r="L92" s="43"/>
      <c r="M92" s="43"/>
      <c r="N92" s="43"/>
      <c r="O92" s="43"/>
      <c r="P92" s="43"/>
      <c r="Q92" s="43"/>
      <c r="R92" s="43"/>
      <c r="S92" s="43"/>
      <c r="T92" s="43"/>
      <c r="U92" s="43"/>
      <c r="V92" s="43"/>
      <c r="W92" s="43"/>
      <c r="X92" s="43"/>
      <c r="Y92" s="43"/>
      <c r="Z92" s="43"/>
    </row>
    <row r="93" spans="1:26" ht="15" customHeight="1" x14ac:dyDescent="0.25">
      <c r="A93" s="43"/>
      <c r="B93" s="60"/>
      <c r="C93" s="43"/>
      <c r="D93" s="43"/>
      <c r="E93" s="43"/>
      <c r="F93" s="305" t="s">
        <v>40</v>
      </c>
      <c r="G93" s="223"/>
      <c r="H93" s="68">
        <f>+VLOOKUP(G83,'TARIFAS '!$A$3:$O$239,8,FALSE)*G90</f>
        <v>58000</v>
      </c>
      <c r="I93" s="43"/>
      <c r="J93" s="66"/>
      <c r="K93" s="43"/>
      <c r="L93" s="43"/>
      <c r="M93" s="43"/>
      <c r="N93" s="43"/>
      <c r="O93" s="43"/>
      <c r="P93" s="43"/>
      <c r="Q93" s="43"/>
      <c r="R93" s="43"/>
      <c r="S93" s="43"/>
      <c r="T93" s="43"/>
      <c r="U93" s="43"/>
      <c r="V93" s="43"/>
      <c r="W93" s="43"/>
      <c r="X93" s="43"/>
      <c r="Y93" s="43"/>
      <c r="Z93" s="43"/>
    </row>
    <row r="94" spans="1:26" ht="14.25" customHeight="1" x14ac:dyDescent="0.25">
      <c r="A94" s="43"/>
      <c r="B94" s="60"/>
      <c r="C94" s="43"/>
      <c r="D94" s="43"/>
      <c r="E94" s="43"/>
      <c r="F94" s="306"/>
      <c r="G94" s="223"/>
      <c r="H94" s="65"/>
      <c r="I94" s="65"/>
      <c r="J94" s="66"/>
      <c r="K94" s="43"/>
      <c r="L94" s="43"/>
      <c r="M94" s="43"/>
      <c r="N94" s="43"/>
      <c r="O94" s="43"/>
      <c r="P94" s="43"/>
      <c r="Q94" s="43"/>
      <c r="R94" s="43"/>
      <c r="S94" s="43"/>
      <c r="T94" s="43"/>
      <c r="U94" s="43"/>
      <c r="V94" s="43"/>
      <c r="W94" s="43"/>
      <c r="X94" s="43"/>
      <c r="Y94" s="43"/>
      <c r="Z94" s="43"/>
    </row>
    <row r="95" spans="1:26" ht="14.25" customHeight="1" x14ac:dyDescent="0.25">
      <c r="A95" s="43"/>
      <c r="B95" s="70"/>
      <c r="C95" s="71"/>
      <c r="D95" s="71"/>
      <c r="E95" s="71"/>
      <c r="F95" s="72"/>
      <c r="G95" s="72"/>
      <c r="H95" s="72"/>
      <c r="I95" s="72"/>
      <c r="J95" s="73"/>
      <c r="K95" s="43"/>
      <c r="L95" s="43"/>
      <c r="M95" s="43"/>
      <c r="N95" s="43"/>
      <c r="O95" s="43"/>
      <c r="P95" s="43"/>
      <c r="Q95" s="43"/>
      <c r="R95" s="43"/>
      <c r="S95" s="43"/>
      <c r="T95" s="43"/>
      <c r="U95" s="43"/>
      <c r="V95" s="43"/>
      <c r="W95" s="43"/>
      <c r="X95" s="43"/>
      <c r="Y95" s="43"/>
      <c r="Z95" s="43"/>
    </row>
    <row r="96" spans="1:26" ht="14.25" customHeight="1" x14ac:dyDescent="0.25">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4.25" customHeight="1" x14ac:dyDescent="0.25">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4.25" customHeight="1" x14ac:dyDescent="0.25">
      <c r="A98" s="43"/>
      <c r="B98" s="74"/>
      <c r="C98" s="75"/>
      <c r="D98" s="75"/>
      <c r="E98" s="75"/>
      <c r="F98" s="75"/>
      <c r="G98" s="75"/>
      <c r="H98" s="75"/>
      <c r="I98" s="75"/>
      <c r="J98" s="76"/>
      <c r="K98" s="43"/>
      <c r="L98" s="43"/>
      <c r="M98" s="43"/>
      <c r="N98" s="43"/>
      <c r="O98" s="43"/>
      <c r="P98" s="43"/>
      <c r="Q98" s="43"/>
      <c r="R98" s="43"/>
      <c r="S98" s="43"/>
      <c r="T98" s="43"/>
      <c r="U98" s="43"/>
      <c r="V98" s="43"/>
      <c r="W98" s="43"/>
      <c r="X98" s="43"/>
      <c r="Y98" s="43"/>
      <c r="Z98" s="43"/>
    </row>
    <row r="99" spans="1:26" ht="14.25" customHeight="1" x14ac:dyDescent="0.25">
      <c r="A99" s="43"/>
      <c r="B99" s="60"/>
      <c r="C99" s="43"/>
      <c r="D99" s="43"/>
      <c r="E99" s="43"/>
      <c r="F99" s="43"/>
      <c r="G99" s="43"/>
      <c r="H99" s="43"/>
      <c r="I99" s="43"/>
      <c r="J99" s="77"/>
      <c r="K99" s="43"/>
      <c r="L99" s="43"/>
      <c r="M99" s="43"/>
      <c r="N99" s="43"/>
      <c r="O99" s="43"/>
      <c r="P99" s="43"/>
      <c r="Q99" s="43"/>
      <c r="R99" s="43"/>
      <c r="S99" s="43"/>
      <c r="T99" s="43"/>
      <c r="U99" s="43"/>
      <c r="V99" s="43"/>
      <c r="W99" s="43"/>
      <c r="X99" s="43"/>
      <c r="Y99" s="43"/>
      <c r="Z99" s="43"/>
    </row>
    <row r="100" spans="1:26" ht="17.25" customHeight="1" x14ac:dyDescent="0.25">
      <c r="A100" s="43"/>
      <c r="B100" s="60"/>
      <c r="C100" s="43"/>
      <c r="D100" s="43"/>
      <c r="E100" s="43"/>
      <c r="F100" s="61" t="s">
        <v>28</v>
      </c>
      <c r="G100" s="307">
        <f>+'CONF '!A10</f>
        <v>45611</v>
      </c>
      <c r="H100" s="303"/>
      <c r="I100" s="223"/>
      <c r="J100" s="62"/>
      <c r="K100" s="43"/>
      <c r="L100" s="43"/>
      <c r="M100" s="43"/>
      <c r="N100" s="43"/>
      <c r="O100" s="43"/>
      <c r="P100" s="43"/>
      <c r="Q100" s="43"/>
      <c r="R100" s="43"/>
      <c r="S100" s="43"/>
      <c r="T100" s="43"/>
      <c r="U100" s="43"/>
      <c r="V100" s="43"/>
      <c r="W100" s="43"/>
      <c r="X100" s="43"/>
      <c r="Y100" s="43"/>
      <c r="Z100" s="43"/>
    </row>
    <row r="101" spans="1:26" ht="9" customHeight="1" x14ac:dyDescent="0.25">
      <c r="A101" s="43"/>
      <c r="B101" s="60"/>
      <c r="C101" s="43"/>
      <c r="D101" s="43"/>
      <c r="E101" s="43"/>
      <c r="F101" s="61"/>
      <c r="G101" s="63"/>
      <c r="H101" s="63"/>
      <c r="I101" s="63"/>
      <c r="J101" s="62"/>
      <c r="K101" s="43"/>
      <c r="L101" s="43"/>
      <c r="M101" s="43"/>
      <c r="N101" s="43"/>
      <c r="O101" s="43"/>
      <c r="P101" s="43"/>
      <c r="Q101" s="43"/>
      <c r="R101" s="43"/>
      <c r="S101" s="43"/>
      <c r="T101" s="43"/>
      <c r="U101" s="43"/>
      <c r="V101" s="43"/>
      <c r="W101" s="43"/>
      <c r="X101" s="43"/>
      <c r="Y101" s="43"/>
      <c r="Z101" s="43"/>
    </row>
    <row r="102" spans="1:26" ht="14.25" customHeight="1" x14ac:dyDescent="0.25">
      <c r="A102" s="43"/>
      <c r="B102" s="60"/>
      <c r="C102" s="43"/>
      <c r="D102" s="43"/>
      <c r="E102" s="43"/>
      <c r="F102" s="61" t="s">
        <v>30</v>
      </c>
      <c r="G102" s="308" t="str">
        <f>+'CONF '!B10</f>
        <v>PAU´E</v>
      </c>
      <c r="H102" s="303"/>
      <c r="I102" s="223"/>
      <c r="J102" s="64"/>
      <c r="K102" s="43"/>
      <c r="L102" s="43"/>
      <c r="M102" s="43"/>
      <c r="N102" s="43"/>
      <c r="O102" s="43"/>
      <c r="P102" s="43"/>
      <c r="Q102" s="43"/>
      <c r="R102" s="43"/>
      <c r="S102" s="43"/>
      <c r="T102" s="43"/>
      <c r="U102" s="43"/>
      <c r="V102" s="43"/>
      <c r="W102" s="43"/>
      <c r="X102" s="43"/>
      <c r="Y102" s="43"/>
      <c r="Z102" s="43"/>
    </row>
    <row r="103" spans="1:26" ht="14.25" customHeight="1" x14ac:dyDescent="0.25">
      <c r="A103" s="43"/>
      <c r="B103" s="60"/>
      <c r="C103" s="43"/>
      <c r="D103" s="43"/>
      <c r="E103" s="43"/>
      <c r="F103" s="61"/>
      <c r="G103" s="65"/>
      <c r="H103" s="65"/>
      <c r="I103" s="65"/>
      <c r="J103" s="66"/>
      <c r="K103" s="43"/>
      <c r="L103" s="43"/>
      <c r="M103" s="43"/>
      <c r="N103" s="43"/>
      <c r="O103" s="43"/>
      <c r="P103" s="43"/>
      <c r="Q103" s="43"/>
      <c r="R103" s="43"/>
      <c r="S103" s="43"/>
      <c r="T103" s="43"/>
      <c r="U103" s="43"/>
      <c r="V103" s="43"/>
      <c r="W103" s="43"/>
      <c r="X103" s="43"/>
      <c r="Y103" s="43"/>
      <c r="Z103" s="43"/>
    </row>
    <row r="104" spans="1:26" ht="15" customHeight="1" x14ac:dyDescent="0.25">
      <c r="A104" s="43"/>
      <c r="B104" s="60"/>
      <c r="C104" s="43"/>
      <c r="D104" s="43"/>
      <c r="E104" s="43"/>
      <c r="F104" s="309" t="s">
        <v>37</v>
      </c>
      <c r="G104" s="299" t="str">
        <f>+VLOOKUP(G102,'TARIFAS '!$A$3:$N$239,7,FALSE)</f>
        <v xml:space="preserve">Apresentar-se na porta 04 da Marina la Bodeguita. </v>
      </c>
      <c r="H104" s="279"/>
      <c r="I104" s="279"/>
      <c r="J104" s="280"/>
      <c r="K104" s="43"/>
      <c r="L104" s="43"/>
      <c r="M104" s="43"/>
      <c r="N104" s="43"/>
      <c r="O104" s="43"/>
      <c r="P104" s="43"/>
      <c r="Q104" s="43"/>
      <c r="R104" s="43"/>
      <c r="S104" s="43"/>
      <c r="T104" s="43"/>
      <c r="U104" s="43"/>
      <c r="V104" s="43"/>
      <c r="W104" s="43"/>
      <c r="X104" s="43"/>
      <c r="Y104" s="43"/>
      <c r="Z104" s="43"/>
    </row>
    <row r="105" spans="1:26" ht="9" customHeight="1" x14ac:dyDescent="0.25">
      <c r="A105" s="43"/>
      <c r="B105" s="60"/>
      <c r="C105" s="43"/>
      <c r="D105" s="43"/>
      <c r="E105" s="43"/>
      <c r="F105" s="310"/>
      <c r="G105" s="300"/>
      <c r="H105" s="221"/>
      <c r="I105" s="221"/>
      <c r="J105" s="266"/>
      <c r="K105" s="43"/>
      <c r="L105" s="43"/>
      <c r="M105" s="43"/>
      <c r="N105" s="43"/>
      <c r="O105" s="43"/>
      <c r="P105" s="43"/>
      <c r="Q105" s="43"/>
      <c r="R105" s="43"/>
      <c r="S105" s="43"/>
      <c r="T105" s="43"/>
      <c r="U105" s="43"/>
      <c r="V105" s="43"/>
      <c r="W105" s="43"/>
      <c r="X105" s="43"/>
      <c r="Y105" s="43"/>
      <c r="Z105" s="43"/>
    </row>
    <row r="106" spans="1:26" ht="19.5" customHeight="1" x14ac:dyDescent="0.25">
      <c r="A106" s="43"/>
      <c r="B106" s="60"/>
      <c r="C106" s="43"/>
      <c r="D106" s="43"/>
      <c r="E106" s="43"/>
      <c r="F106" s="310"/>
      <c r="G106" s="300"/>
      <c r="H106" s="221"/>
      <c r="I106" s="221"/>
      <c r="J106" s="266"/>
      <c r="K106" s="43"/>
      <c r="L106" s="43"/>
      <c r="M106" s="43"/>
      <c r="N106" s="43"/>
      <c r="O106" s="43"/>
      <c r="P106" s="43"/>
      <c r="Q106" s="43"/>
      <c r="R106" s="43"/>
      <c r="S106" s="43"/>
      <c r="T106" s="43"/>
      <c r="U106" s="43"/>
      <c r="V106" s="43"/>
      <c r="W106" s="43"/>
      <c r="X106" s="43"/>
      <c r="Y106" s="43"/>
      <c r="Z106" s="43"/>
    </row>
    <row r="107" spans="1:26" ht="39.75" customHeight="1" x14ac:dyDescent="0.25">
      <c r="A107" s="43"/>
      <c r="B107" s="60"/>
      <c r="C107" s="43"/>
      <c r="D107" s="43"/>
      <c r="E107" s="43"/>
      <c r="F107" s="311"/>
      <c r="G107" s="301"/>
      <c r="H107" s="276"/>
      <c r="I107" s="276"/>
      <c r="J107" s="277"/>
      <c r="K107" s="43"/>
      <c r="L107" s="43"/>
      <c r="M107" s="43"/>
      <c r="N107" s="43"/>
      <c r="O107" s="43"/>
      <c r="P107" s="43"/>
      <c r="Q107" s="43"/>
      <c r="R107" s="43"/>
      <c r="S107" s="43"/>
      <c r="T107" s="43"/>
      <c r="U107" s="43"/>
      <c r="V107" s="43"/>
      <c r="W107" s="43"/>
      <c r="X107" s="43"/>
      <c r="Y107" s="43"/>
      <c r="Z107" s="43"/>
    </row>
    <row r="108" spans="1:26" ht="54.75" customHeight="1" x14ac:dyDescent="0.25">
      <c r="A108" s="43"/>
      <c r="B108" s="60"/>
      <c r="C108" s="43"/>
      <c r="D108" s="43"/>
      <c r="E108" s="43"/>
      <c r="F108" s="65" t="s">
        <v>0</v>
      </c>
      <c r="G108" s="302">
        <f>+'CONF '!$B$3</f>
        <v>0</v>
      </c>
      <c r="H108" s="303"/>
      <c r="I108" s="223"/>
      <c r="J108" s="67"/>
      <c r="K108" s="43"/>
      <c r="L108" s="43"/>
      <c r="M108" s="43"/>
      <c r="N108" s="43"/>
      <c r="O108" s="43"/>
      <c r="P108" s="43"/>
      <c r="Q108" s="43"/>
      <c r="R108" s="43"/>
      <c r="S108" s="43"/>
      <c r="T108" s="43"/>
      <c r="U108" s="43"/>
      <c r="V108" s="43"/>
      <c r="W108" s="43"/>
      <c r="X108" s="43"/>
      <c r="Y108" s="43"/>
      <c r="Z108" s="43"/>
    </row>
    <row r="109" spans="1:26" ht="14.25" customHeight="1" x14ac:dyDescent="0.25">
      <c r="A109" s="43"/>
      <c r="B109" s="60"/>
      <c r="C109" s="43"/>
      <c r="D109" s="43"/>
      <c r="E109" s="43"/>
      <c r="F109" s="61" t="s">
        <v>38</v>
      </c>
      <c r="G109" s="304">
        <f>+'CONF '!$D$2</f>
        <v>2</v>
      </c>
      <c r="H109" s="303"/>
      <c r="I109" s="223"/>
      <c r="J109" s="64"/>
      <c r="K109" s="43"/>
      <c r="L109" s="43"/>
      <c r="M109" s="43"/>
      <c r="N109" s="43"/>
      <c r="O109" s="43"/>
      <c r="P109" s="43"/>
      <c r="Q109" s="43"/>
      <c r="R109" s="43"/>
      <c r="S109" s="43"/>
      <c r="T109" s="43"/>
      <c r="U109" s="43"/>
      <c r="V109" s="43"/>
      <c r="W109" s="43"/>
      <c r="X109" s="43"/>
      <c r="Y109" s="43"/>
      <c r="Z109" s="43"/>
    </row>
    <row r="110" spans="1:26" ht="14.25" customHeight="1" x14ac:dyDescent="0.25">
      <c r="A110" s="43"/>
      <c r="B110" s="60"/>
      <c r="C110" s="43"/>
      <c r="D110" s="43"/>
      <c r="E110" s="43"/>
      <c r="F110" s="61"/>
      <c r="G110" s="65"/>
      <c r="H110" s="65"/>
      <c r="I110" s="65"/>
      <c r="J110" s="66"/>
      <c r="K110" s="43"/>
      <c r="L110" s="43"/>
      <c r="M110" s="43"/>
      <c r="N110" s="43"/>
      <c r="O110" s="43"/>
      <c r="P110" s="43"/>
      <c r="Q110" s="43"/>
      <c r="R110" s="43"/>
      <c r="S110" s="43"/>
      <c r="T110" s="43"/>
      <c r="U110" s="43"/>
      <c r="V110" s="43"/>
      <c r="W110" s="43"/>
      <c r="X110" s="43"/>
      <c r="Y110" s="43"/>
      <c r="Z110" s="43"/>
    </row>
    <row r="111" spans="1:26" ht="14.25" customHeight="1" x14ac:dyDescent="0.25">
      <c r="A111" s="43"/>
      <c r="B111" s="60"/>
      <c r="C111" s="43"/>
      <c r="D111" s="43"/>
      <c r="E111" s="43"/>
      <c r="F111" s="305" t="s">
        <v>39</v>
      </c>
      <c r="G111" s="223"/>
      <c r="H111" s="68">
        <f>+'CONF '!D56</f>
        <v>2360000</v>
      </c>
      <c r="I111" s="43"/>
      <c r="J111" s="69"/>
      <c r="K111" s="43"/>
      <c r="L111" s="43"/>
      <c r="M111" s="43"/>
      <c r="N111" s="43"/>
      <c r="O111" s="43"/>
      <c r="P111" s="43"/>
      <c r="Q111" s="43"/>
      <c r="R111" s="43"/>
      <c r="S111" s="43"/>
      <c r="T111" s="43"/>
      <c r="U111" s="43"/>
      <c r="V111" s="43"/>
      <c r="W111" s="43"/>
      <c r="X111" s="43"/>
      <c r="Y111" s="43"/>
      <c r="Z111" s="43"/>
    </row>
    <row r="112" spans="1:26" ht="15" customHeight="1" x14ac:dyDescent="0.25">
      <c r="A112" s="43"/>
      <c r="B112" s="60"/>
      <c r="C112" s="43"/>
      <c r="D112" s="43"/>
      <c r="E112" s="43"/>
      <c r="F112" s="305" t="s">
        <v>40</v>
      </c>
      <c r="G112" s="223"/>
      <c r="H112" s="68">
        <f>+VLOOKUP(G102,'TARIFAS '!$A$3:$O$239,8,FALSE)*G109</f>
        <v>69000</v>
      </c>
      <c r="I112" s="43"/>
      <c r="J112" s="66"/>
      <c r="K112" s="43"/>
      <c r="L112" s="43"/>
      <c r="M112" s="43"/>
      <c r="N112" s="43"/>
      <c r="O112" s="43"/>
      <c r="P112" s="43"/>
      <c r="Q112" s="43"/>
      <c r="R112" s="43"/>
      <c r="S112" s="43"/>
      <c r="T112" s="43"/>
      <c r="U112" s="43"/>
      <c r="V112" s="43"/>
      <c r="W112" s="43"/>
      <c r="X112" s="43"/>
      <c r="Y112" s="43"/>
      <c r="Z112" s="43"/>
    </row>
    <row r="113" spans="1:26" ht="14.25" customHeight="1" x14ac:dyDescent="0.25">
      <c r="A113" s="43"/>
      <c r="B113" s="60"/>
      <c r="C113" s="43"/>
      <c r="D113" s="43"/>
      <c r="E113" s="43"/>
      <c r="F113" s="306"/>
      <c r="G113" s="223"/>
      <c r="H113" s="65"/>
      <c r="I113" s="65"/>
      <c r="J113" s="66"/>
      <c r="K113" s="43"/>
      <c r="L113" s="43"/>
      <c r="M113" s="43"/>
      <c r="N113" s="43"/>
      <c r="O113" s="43"/>
      <c r="P113" s="43"/>
      <c r="Q113" s="43"/>
      <c r="R113" s="43"/>
      <c r="S113" s="43"/>
      <c r="T113" s="43"/>
      <c r="U113" s="43"/>
      <c r="V113" s="43"/>
      <c r="W113" s="43"/>
      <c r="X113" s="43"/>
      <c r="Y113" s="43"/>
      <c r="Z113" s="43"/>
    </row>
    <row r="114" spans="1:26" ht="14.25" customHeight="1" x14ac:dyDescent="0.25">
      <c r="A114" s="43"/>
      <c r="B114" s="70"/>
      <c r="C114" s="71"/>
      <c r="D114" s="71"/>
      <c r="E114" s="71"/>
      <c r="F114" s="72"/>
      <c r="G114" s="72"/>
      <c r="H114" s="72"/>
      <c r="I114" s="72"/>
      <c r="J114" s="73"/>
      <c r="K114" s="43"/>
      <c r="L114" s="43"/>
      <c r="M114" s="43"/>
      <c r="N114" s="43"/>
      <c r="O114" s="43"/>
      <c r="P114" s="43"/>
      <c r="Q114" s="43"/>
      <c r="R114" s="43"/>
      <c r="S114" s="43"/>
      <c r="T114" s="43"/>
      <c r="U114" s="43"/>
      <c r="V114" s="43"/>
      <c r="W114" s="43"/>
      <c r="X114" s="43"/>
      <c r="Y114" s="43"/>
      <c r="Z114" s="43"/>
    </row>
    <row r="115" spans="1:26" ht="14.25" customHeight="1" x14ac:dyDescent="0.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4.25" customHeight="1" x14ac:dyDescent="0.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4.25" customHeight="1" x14ac:dyDescent="0.25">
      <c r="A117" s="43"/>
      <c r="B117" s="74"/>
      <c r="C117" s="75"/>
      <c r="D117" s="75"/>
      <c r="E117" s="75"/>
      <c r="F117" s="75"/>
      <c r="G117" s="75"/>
      <c r="H117" s="75"/>
      <c r="I117" s="75"/>
      <c r="J117" s="76"/>
      <c r="K117" s="43"/>
      <c r="L117" s="43"/>
      <c r="M117" s="43"/>
      <c r="N117" s="43"/>
      <c r="O117" s="43"/>
      <c r="P117" s="43"/>
      <c r="Q117" s="43"/>
      <c r="R117" s="43"/>
      <c r="S117" s="43"/>
      <c r="T117" s="43"/>
      <c r="U117" s="43"/>
      <c r="V117" s="43"/>
      <c r="W117" s="43"/>
      <c r="X117" s="43"/>
      <c r="Y117" s="43"/>
      <c r="Z117" s="43"/>
    </row>
    <row r="118" spans="1:26" ht="14.25" customHeight="1" x14ac:dyDescent="0.25">
      <c r="A118" s="43"/>
      <c r="B118" s="60"/>
      <c r="C118" s="43"/>
      <c r="D118" s="43"/>
      <c r="E118" s="43"/>
      <c r="F118" s="43"/>
      <c r="G118" s="43"/>
      <c r="H118" s="43"/>
      <c r="I118" s="43"/>
      <c r="J118" s="77"/>
      <c r="K118" s="43"/>
      <c r="L118" s="43"/>
      <c r="M118" s="43"/>
      <c r="N118" s="43"/>
      <c r="O118" s="43"/>
      <c r="P118" s="43"/>
      <c r="Q118" s="43"/>
      <c r="R118" s="43"/>
      <c r="S118" s="43"/>
      <c r="T118" s="43"/>
      <c r="U118" s="43"/>
      <c r="V118" s="43"/>
      <c r="W118" s="43"/>
      <c r="X118" s="43"/>
      <c r="Y118" s="43"/>
      <c r="Z118" s="43"/>
    </row>
    <row r="119" spans="1:26" ht="20.25" customHeight="1" x14ac:dyDescent="0.25">
      <c r="A119" s="43"/>
      <c r="B119" s="60"/>
      <c r="C119" s="43"/>
      <c r="D119" s="43"/>
      <c r="E119" s="43"/>
      <c r="F119" s="61" t="s">
        <v>28</v>
      </c>
      <c r="G119" s="307">
        <f>+'CONF '!A11</f>
        <v>45612</v>
      </c>
      <c r="H119" s="303"/>
      <c r="I119" s="223"/>
      <c r="J119" s="62"/>
      <c r="K119" s="43"/>
      <c r="L119" s="43"/>
      <c r="M119" s="43"/>
      <c r="N119" s="43"/>
      <c r="O119" s="43"/>
      <c r="P119" s="43"/>
      <c r="Q119" s="43"/>
      <c r="R119" s="43"/>
      <c r="S119" s="43"/>
      <c r="T119" s="43"/>
      <c r="U119" s="43"/>
      <c r="V119" s="43"/>
      <c r="W119" s="43"/>
      <c r="X119" s="43"/>
      <c r="Y119" s="43"/>
      <c r="Z119" s="43"/>
    </row>
    <row r="120" spans="1:26" ht="9" customHeight="1" x14ac:dyDescent="0.25">
      <c r="A120" s="43"/>
      <c r="B120" s="60"/>
      <c r="C120" s="43"/>
      <c r="D120" s="43"/>
      <c r="E120" s="43"/>
      <c r="F120" s="61"/>
      <c r="G120" s="63"/>
      <c r="H120" s="63"/>
      <c r="I120" s="63"/>
      <c r="J120" s="62"/>
      <c r="K120" s="43"/>
      <c r="L120" s="43"/>
      <c r="M120" s="43"/>
      <c r="N120" s="43"/>
      <c r="O120" s="43"/>
      <c r="P120" s="43"/>
      <c r="Q120" s="43"/>
      <c r="R120" s="43"/>
      <c r="S120" s="43"/>
      <c r="T120" s="43"/>
      <c r="U120" s="43"/>
      <c r="V120" s="43"/>
      <c r="W120" s="43"/>
      <c r="X120" s="43"/>
      <c r="Y120" s="43"/>
      <c r="Z120" s="43"/>
    </row>
    <row r="121" spans="1:26" ht="14.25" customHeight="1" x14ac:dyDescent="0.25">
      <c r="A121" s="43"/>
      <c r="B121" s="60"/>
      <c r="C121" s="43"/>
      <c r="D121" s="43"/>
      <c r="E121" s="43"/>
      <c r="F121" s="61" t="s">
        <v>30</v>
      </c>
      <c r="G121" s="308" t="str">
        <f>+'CONF '!B11</f>
        <v>Bonavida</v>
      </c>
      <c r="H121" s="303"/>
      <c r="I121" s="223"/>
      <c r="J121" s="64"/>
      <c r="K121" s="43"/>
      <c r="L121" s="43"/>
      <c r="M121" s="43"/>
      <c r="N121" s="43"/>
      <c r="O121" s="43"/>
      <c r="P121" s="43"/>
      <c r="Q121" s="43"/>
      <c r="R121" s="43"/>
      <c r="S121" s="43"/>
      <c r="T121" s="43"/>
      <c r="U121" s="43"/>
      <c r="V121" s="43"/>
      <c r="W121" s="43"/>
      <c r="X121" s="43"/>
      <c r="Y121" s="43"/>
      <c r="Z121" s="43"/>
    </row>
    <row r="122" spans="1:26" ht="14.25" customHeight="1" x14ac:dyDescent="0.25">
      <c r="A122" s="43"/>
      <c r="B122" s="60"/>
      <c r="C122" s="43"/>
      <c r="D122" s="43"/>
      <c r="E122" s="43"/>
      <c r="F122" s="61"/>
      <c r="G122" s="65"/>
      <c r="H122" s="65"/>
      <c r="I122" s="65"/>
      <c r="J122" s="66"/>
      <c r="K122" s="43"/>
      <c r="L122" s="43"/>
      <c r="M122" s="43"/>
      <c r="N122" s="43"/>
      <c r="O122" s="43"/>
      <c r="P122" s="43"/>
      <c r="Q122" s="43"/>
      <c r="R122" s="43"/>
      <c r="S122" s="43"/>
      <c r="T122" s="43"/>
      <c r="U122" s="43"/>
      <c r="V122" s="43"/>
      <c r="W122" s="43"/>
      <c r="X122" s="43"/>
      <c r="Y122" s="43"/>
      <c r="Z122" s="43"/>
    </row>
    <row r="123" spans="1:26" ht="15" customHeight="1" x14ac:dyDescent="0.25">
      <c r="A123" s="43"/>
      <c r="B123" s="60"/>
      <c r="C123" s="43"/>
      <c r="D123" s="43"/>
      <c r="E123" s="43"/>
      <c r="F123" s="309" t="s">
        <v>37</v>
      </c>
      <c r="G123" s="299" t="str">
        <f>+VLOOKUP(G121,'TARIFAS '!$A$3:$N$239,7,FALSE)</f>
        <v>Apresentar-se na Marina La Bodeguita porta 3 onde o catamarã Bona Vida estará ancorado. A tripulação dará toda assistência no embarque. Retorno para a Marina Los Pegasos às 16:00.</v>
      </c>
      <c r="H123" s="279"/>
      <c r="I123" s="279"/>
      <c r="J123" s="280"/>
      <c r="K123" s="43"/>
      <c r="L123" s="43"/>
      <c r="M123" s="43"/>
      <c r="N123" s="43"/>
      <c r="O123" s="43"/>
      <c r="P123" s="43"/>
      <c r="Q123" s="43"/>
      <c r="R123" s="43"/>
      <c r="S123" s="43"/>
      <c r="T123" s="43"/>
      <c r="U123" s="43"/>
      <c r="V123" s="43"/>
      <c r="W123" s="43"/>
      <c r="X123" s="43"/>
      <c r="Y123" s="43"/>
      <c r="Z123" s="43"/>
    </row>
    <row r="124" spans="1:26" ht="9" customHeight="1" x14ac:dyDescent="0.25">
      <c r="A124" s="43"/>
      <c r="B124" s="60"/>
      <c r="C124" s="43"/>
      <c r="D124" s="43"/>
      <c r="E124" s="43"/>
      <c r="F124" s="310"/>
      <c r="G124" s="300"/>
      <c r="H124" s="221"/>
      <c r="I124" s="221"/>
      <c r="J124" s="266"/>
      <c r="K124" s="43"/>
      <c r="L124" s="43"/>
      <c r="M124" s="43"/>
      <c r="N124" s="43"/>
      <c r="O124" s="43"/>
      <c r="P124" s="43"/>
      <c r="Q124" s="43"/>
      <c r="R124" s="43"/>
      <c r="S124" s="43"/>
      <c r="T124" s="43"/>
      <c r="U124" s="43"/>
      <c r="V124" s="43"/>
      <c r="W124" s="43"/>
      <c r="X124" s="43"/>
      <c r="Y124" s="43"/>
      <c r="Z124" s="43"/>
    </row>
    <row r="125" spans="1:26" ht="19.5" customHeight="1" x14ac:dyDescent="0.25">
      <c r="A125" s="43"/>
      <c r="B125" s="60"/>
      <c r="C125" s="43"/>
      <c r="D125" s="43"/>
      <c r="E125" s="43"/>
      <c r="F125" s="310"/>
      <c r="G125" s="300"/>
      <c r="H125" s="221"/>
      <c r="I125" s="221"/>
      <c r="J125" s="266"/>
      <c r="K125" s="43"/>
      <c r="L125" s="43"/>
      <c r="M125" s="43"/>
      <c r="N125" s="43"/>
      <c r="O125" s="43"/>
      <c r="P125" s="43"/>
      <c r="Q125" s="43"/>
      <c r="R125" s="43"/>
      <c r="S125" s="43"/>
      <c r="T125" s="43"/>
      <c r="U125" s="43"/>
      <c r="V125" s="43"/>
      <c r="W125" s="43"/>
      <c r="X125" s="43"/>
      <c r="Y125" s="43"/>
      <c r="Z125" s="43"/>
    </row>
    <row r="126" spans="1:26" ht="39.75" customHeight="1" x14ac:dyDescent="0.25">
      <c r="A126" s="43"/>
      <c r="B126" s="60"/>
      <c r="C126" s="43"/>
      <c r="D126" s="43"/>
      <c r="E126" s="43"/>
      <c r="F126" s="311"/>
      <c r="G126" s="301"/>
      <c r="H126" s="276"/>
      <c r="I126" s="276"/>
      <c r="J126" s="277"/>
      <c r="K126" s="43"/>
      <c r="L126" s="43"/>
      <c r="M126" s="43"/>
      <c r="N126" s="43"/>
      <c r="O126" s="43"/>
      <c r="P126" s="43"/>
      <c r="Q126" s="43"/>
      <c r="R126" s="43"/>
      <c r="S126" s="43"/>
      <c r="T126" s="43"/>
      <c r="U126" s="43"/>
      <c r="V126" s="43"/>
      <c r="W126" s="43"/>
      <c r="X126" s="43"/>
      <c r="Y126" s="43"/>
      <c r="Z126" s="43"/>
    </row>
    <row r="127" spans="1:26" ht="54.75" customHeight="1" x14ac:dyDescent="0.25">
      <c r="A127" s="43"/>
      <c r="B127" s="60"/>
      <c r="C127" s="43"/>
      <c r="D127" s="43"/>
      <c r="E127" s="43"/>
      <c r="F127" s="65" t="s">
        <v>0</v>
      </c>
      <c r="G127" s="302">
        <f>+'CONF '!$B$3</f>
        <v>0</v>
      </c>
      <c r="H127" s="303"/>
      <c r="I127" s="223"/>
      <c r="J127" s="67"/>
      <c r="K127" s="43"/>
      <c r="L127" s="43"/>
      <c r="M127" s="43"/>
      <c r="N127" s="43"/>
      <c r="O127" s="43"/>
      <c r="P127" s="43"/>
      <c r="Q127" s="43"/>
      <c r="R127" s="43"/>
      <c r="S127" s="43"/>
      <c r="T127" s="43"/>
      <c r="U127" s="43"/>
      <c r="V127" s="43"/>
      <c r="W127" s="43"/>
      <c r="X127" s="43"/>
      <c r="Y127" s="43"/>
      <c r="Z127" s="43"/>
    </row>
    <row r="128" spans="1:26" ht="14.25" customHeight="1" x14ac:dyDescent="0.25">
      <c r="A128" s="43"/>
      <c r="B128" s="60"/>
      <c r="C128" s="43"/>
      <c r="D128" s="43"/>
      <c r="E128" s="43"/>
      <c r="F128" s="61" t="s">
        <v>38</v>
      </c>
      <c r="G128" s="304">
        <f>+'CONF '!$D$2</f>
        <v>2</v>
      </c>
      <c r="H128" s="303"/>
      <c r="I128" s="223"/>
      <c r="J128" s="64"/>
      <c r="K128" s="43"/>
      <c r="L128" s="43"/>
      <c r="M128" s="43"/>
      <c r="N128" s="43"/>
      <c r="O128" s="43"/>
      <c r="P128" s="43"/>
      <c r="Q128" s="43"/>
      <c r="R128" s="43"/>
      <c r="S128" s="43"/>
      <c r="T128" s="43"/>
      <c r="U128" s="43"/>
      <c r="V128" s="43"/>
      <c r="W128" s="43"/>
      <c r="X128" s="43"/>
      <c r="Y128" s="43"/>
      <c r="Z128" s="43"/>
    </row>
    <row r="129" spans="1:26" ht="14.25" customHeight="1" x14ac:dyDescent="0.25">
      <c r="A129" s="43"/>
      <c r="B129" s="60"/>
      <c r="C129" s="43"/>
      <c r="D129" s="43"/>
      <c r="E129" s="43"/>
      <c r="F129" s="61"/>
      <c r="G129" s="65"/>
      <c r="H129" s="65"/>
      <c r="I129" s="65"/>
      <c r="J129" s="66"/>
      <c r="K129" s="43"/>
      <c r="L129" s="43"/>
      <c r="M129" s="43"/>
      <c r="N129" s="43"/>
      <c r="O129" s="43"/>
      <c r="P129" s="43"/>
      <c r="Q129" s="43"/>
      <c r="R129" s="43"/>
      <c r="S129" s="43"/>
      <c r="T129" s="43"/>
      <c r="U129" s="43"/>
      <c r="V129" s="43"/>
      <c r="W129" s="43"/>
      <c r="X129" s="43"/>
      <c r="Y129" s="43"/>
      <c r="Z129" s="43"/>
    </row>
    <row r="130" spans="1:26" ht="14.25" customHeight="1" x14ac:dyDescent="0.25">
      <c r="A130" s="43"/>
      <c r="B130" s="60"/>
      <c r="C130" s="43"/>
      <c r="D130" s="43"/>
      <c r="E130" s="43"/>
      <c r="F130" s="305" t="s">
        <v>39</v>
      </c>
      <c r="G130" s="223"/>
      <c r="H130" s="68">
        <f>+'CONF '!D57</f>
        <v>2700000</v>
      </c>
      <c r="I130" s="43"/>
      <c r="J130" s="69"/>
      <c r="K130" s="43"/>
      <c r="L130" s="43"/>
      <c r="M130" s="43"/>
      <c r="N130" s="43"/>
      <c r="O130" s="43"/>
      <c r="P130" s="43"/>
      <c r="Q130" s="43"/>
      <c r="R130" s="43"/>
      <c r="S130" s="43"/>
      <c r="T130" s="43"/>
      <c r="U130" s="43"/>
      <c r="V130" s="43"/>
      <c r="W130" s="43"/>
      <c r="X130" s="43"/>
      <c r="Y130" s="43"/>
      <c r="Z130" s="43"/>
    </row>
    <row r="131" spans="1:26" ht="15" customHeight="1" x14ac:dyDescent="0.25">
      <c r="A131" s="43"/>
      <c r="B131" s="60"/>
      <c r="C131" s="43"/>
      <c r="D131" s="43"/>
      <c r="E131" s="43"/>
      <c r="F131" s="305" t="s">
        <v>40</v>
      </c>
      <c r="G131" s="223"/>
      <c r="H131" s="68">
        <f>+VLOOKUP(G121,'TARIFAS '!$A$3:$O$239,8,FALSE)*G128</f>
        <v>53000</v>
      </c>
      <c r="I131" s="43"/>
      <c r="J131" s="66"/>
      <c r="K131" s="43"/>
      <c r="L131" s="43"/>
      <c r="M131" s="43"/>
      <c r="N131" s="43"/>
      <c r="O131" s="43"/>
      <c r="P131" s="43"/>
      <c r="Q131" s="43"/>
      <c r="R131" s="43"/>
      <c r="S131" s="43"/>
      <c r="T131" s="43"/>
      <c r="U131" s="43"/>
      <c r="V131" s="43"/>
      <c r="W131" s="43"/>
      <c r="X131" s="43"/>
      <c r="Y131" s="43"/>
      <c r="Z131" s="43"/>
    </row>
    <row r="132" spans="1:26" ht="14.25" customHeight="1" x14ac:dyDescent="0.25">
      <c r="A132" s="43"/>
      <c r="B132" s="60"/>
      <c r="C132" s="43"/>
      <c r="D132" s="43"/>
      <c r="E132" s="43"/>
      <c r="F132" s="306"/>
      <c r="G132" s="223"/>
      <c r="H132" s="65"/>
      <c r="I132" s="65"/>
      <c r="J132" s="66"/>
      <c r="K132" s="43"/>
      <c r="L132" s="43"/>
      <c r="M132" s="43"/>
      <c r="N132" s="43"/>
      <c r="O132" s="43"/>
      <c r="P132" s="43"/>
      <c r="Q132" s="43"/>
      <c r="R132" s="43"/>
      <c r="S132" s="43"/>
      <c r="T132" s="43"/>
      <c r="U132" s="43"/>
      <c r="V132" s="43"/>
      <c r="W132" s="43"/>
      <c r="X132" s="43"/>
      <c r="Y132" s="43"/>
      <c r="Z132" s="43"/>
    </row>
    <row r="133" spans="1:26" ht="14.25" customHeight="1" x14ac:dyDescent="0.25">
      <c r="A133" s="43"/>
      <c r="B133" s="70"/>
      <c r="C133" s="71"/>
      <c r="D133" s="71"/>
      <c r="E133" s="71"/>
      <c r="F133" s="72"/>
      <c r="G133" s="72"/>
      <c r="H133" s="72"/>
      <c r="I133" s="72"/>
      <c r="J133" s="73"/>
      <c r="K133" s="43"/>
      <c r="L133" s="43"/>
      <c r="M133" s="43"/>
      <c r="N133" s="43"/>
      <c r="O133" s="43"/>
      <c r="P133" s="43"/>
      <c r="Q133" s="43"/>
      <c r="R133" s="43"/>
      <c r="S133" s="43"/>
      <c r="T133" s="43"/>
      <c r="U133" s="43"/>
      <c r="V133" s="43"/>
      <c r="W133" s="43"/>
      <c r="X133" s="43"/>
      <c r="Y133" s="43"/>
      <c r="Z133" s="43"/>
    </row>
    <row r="134" spans="1:26" ht="14.25" customHeight="1" x14ac:dyDescent="0.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4.25" customHeight="1" x14ac:dyDescent="0.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4.25" customHeight="1" x14ac:dyDescent="0.25">
      <c r="A136" s="43"/>
      <c r="B136" s="74"/>
      <c r="C136" s="75"/>
      <c r="D136" s="75"/>
      <c r="E136" s="75"/>
      <c r="F136" s="75"/>
      <c r="G136" s="75"/>
      <c r="H136" s="75"/>
      <c r="I136" s="75"/>
      <c r="J136" s="76"/>
      <c r="K136" s="43"/>
      <c r="L136" s="43"/>
      <c r="M136" s="43"/>
      <c r="N136" s="43"/>
      <c r="O136" s="43"/>
      <c r="P136" s="43"/>
      <c r="Q136" s="43"/>
      <c r="R136" s="43"/>
      <c r="S136" s="43"/>
      <c r="T136" s="43"/>
      <c r="U136" s="43"/>
      <c r="V136" s="43"/>
      <c r="W136" s="43"/>
      <c r="X136" s="43"/>
      <c r="Y136" s="43"/>
      <c r="Z136" s="43"/>
    </row>
    <row r="137" spans="1:26" ht="14.25" customHeight="1" x14ac:dyDescent="0.25">
      <c r="A137" s="43"/>
      <c r="B137" s="60"/>
      <c r="C137" s="43"/>
      <c r="D137" s="43"/>
      <c r="E137" s="43"/>
      <c r="F137" s="43"/>
      <c r="G137" s="43"/>
      <c r="H137" s="43"/>
      <c r="I137" s="43"/>
      <c r="J137" s="77"/>
      <c r="K137" s="43"/>
      <c r="L137" s="43"/>
      <c r="M137" s="43"/>
      <c r="N137" s="43"/>
      <c r="O137" s="43"/>
      <c r="P137" s="43"/>
      <c r="Q137" s="43"/>
      <c r="R137" s="43"/>
      <c r="S137" s="43"/>
      <c r="T137" s="43"/>
      <c r="U137" s="43"/>
      <c r="V137" s="43"/>
      <c r="W137" s="43"/>
      <c r="X137" s="43"/>
      <c r="Y137" s="43"/>
      <c r="Z137" s="43"/>
    </row>
    <row r="138" spans="1:26" ht="19.5" customHeight="1" x14ac:dyDescent="0.25">
      <c r="A138" s="43"/>
      <c r="B138" s="60"/>
      <c r="C138" s="43"/>
      <c r="D138" s="43"/>
      <c r="E138" s="43"/>
      <c r="F138" s="61" t="s">
        <v>28</v>
      </c>
      <c r="G138" s="307">
        <f>+'CONF '!A12</f>
        <v>45613</v>
      </c>
      <c r="H138" s="303"/>
      <c r="I138" s="223"/>
      <c r="J138" s="62"/>
      <c r="K138" s="43"/>
      <c r="L138" s="43"/>
      <c r="M138" s="43"/>
      <c r="N138" s="43"/>
      <c r="O138" s="43"/>
      <c r="P138" s="43"/>
      <c r="Q138" s="43"/>
      <c r="R138" s="43"/>
      <c r="S138" s="43"/>
      <c r="T138" s="43"/>
      <c r="U138" s="43"/>
      <c r="V138" s="43"/>
      <c r="W138" s="43"/>
      <c r="X138" s="43"/>
      <c r="Y138" s="43"/>
      <c r="Z138" s="43"/>
    </row>
    <row r="139" spans="1:26" ht="9" customHeight="1" x14ac:dyDescent="0.25">
      <c r="A139" s="43"/>
      <c r="B139" s="60"/>
      <c r="C139" s="43"/>
      <c r="D139" s="43"/>
      <c r="E139" s="43"/>
      <c r="F139" s="61"/>
      <c r="G139" s="63"/>
      <c r="H139" s="63"/>
      <c r="I139" s="63"/>
      <c r="J139" s="62"/>
      <c r="K139" s="43"/>
      <c r="L139" s="43"/>
      <c r="M139" s="43"/>
      <c r="N139" s="43"/>
      <c r="O139" s="43"/>
      <c r="P139" s="43"/>
      <c r="Q139" s="43"/>
      <c r="R139" s="43"/>
      <c r="S139" s="43"/>
      <c r="T139" s="43"/>
      <c r="U139" s="43"/>
      <c r="V139" s="43"/>
      <c r="W139" s="43"/>
      <c r="X139" s="43"/>
      <c r="Y139" s="43"/>
      <c r="Z139" s="43"/>
    </row>
    <row r="140" spans="1:26" ht="14.25" customHeight="1" x14ac:dyDescent="0.25">
      <c r="A140" s="43"/>
      <c r="B140" s="60"/>
      <c r="C140" s="43"/>
      <c r="D140" s="43"/>
      <c r="E140" s="43"/>
      <c r="F140" s="61" t="s">
        <v>30</v>
      </c>
      <c r="G140" s="308" t="str">
        <f>+'CONF '!B12</f>
        <v>Bora Bora Vip</v>
      </c>
      <c r="H140" s="303"/>
      <c r="I140" s="223"/>
      <c r="J140" s="64"/>
      <c r="K140" s="43"/>
      <c r="L140" s="43"/>
      <c r="M140" s="43"/>
      <c r="N140" s="43"/>
      <c r="O140" s="43"/>
      <c r="P140" s="43"/>
      <c r="Q140" s="43"/>
      <c r="R140" s="43"/>
      <c r="S140" s="43"/>
      <c r="T140" s="43"/>
      <c r="U140" s="43"/>
      <c r="V140" s="43"/>
      <c r="W140" s="43"/>
      <c r="X140" s="43"/>
      <c r="Y140" s="43"/>
      <c r="Z140" s="43"/>
    </row>
    <row r="141" spans="1:26" ht="14.25" customHeight="1" x14ac:dyDescent="0.25">
      <c r="A141" s="43"/>
      <c r="B141" s="60"/>
      <c r="C141" s="43"/>
      <c r="D141" s="43"/>
      <c r="E141" s="43"/>
      <c r="F141" s="61"/>
      <c r="G141" s="65"/>
      <c r="H141" s="65"/>
      <c r="I141" s="65"/>
      <c r="J141" s="66"/>
      <c r="K141" s="43"/>
      <c r="L141" s="43"/>
      <c r="M141" s="43"/>
      <c r="N141" s="43"/>
      <c r="O141" s="43"/>
      <c r="P141" s="43"/>
      <c r="Q141" s="43"/>
      <c r="R141" s="43"/>
      <c r="S141" s="43"/>
      <c r="T141" s="43"/>
      <c r="U141" s="43"/>
      <c r="V141" s="43"/>
      <c r="W141" s="43"/>
      <c r="X141" s="43"/>
      <c r="Y141" s="43"/>
      <c r="Z141" s="43"/>
    </row>
    <row r="142" spans="1:26" ht="15" customHeight="1" x14ac:dyDescent="0.25">
      <c r="A142" s="43"/>
      <c r="B142" s="60"/>
      <c r="C142" s="43"/>
      <c r="D142" s="43"/>
      <c r="E142" s="43"/>
      <c r="F142" s="309" t="s">
        <v>37</v>
      </c>
      <c r="G142" s="299" t="str">
        <f>+VLOOKUP(G140,'TARIFAS '!$A$3:$N$239,7,FALSE)</f>
        <v xml:space="preserve">Apresentar-se  na porta 03 da Marina la Bodeguita. </v>
      </c>
      <c r="H142" s="279"/>
      <c r="I142" s="279"/>
      <c r="J142" s="280"/>
      <c r="K142" s="43"/>
      <c r="L142" s="43"/>
      <c r="M142" s="43"/>
      <c r="N142" s="43"/>
      <c r="O142" s="43"/>
      <c r="P142" s="43"/>
      <c r="Q142" s="43"/>
      <c r="R142" s="43"/>
      <c r="S142" s="43"/>
      <c r="T142" s="43"/>
      <c r="U142" s="43"/>
      <c r="V142" s="43"/>
      <c r="W142" s="43"/>
      <c r="X142" s="43"/>
      <c r="Y142" s="43"/>
      <c r="Z142" s="43"/>
    </row>
    <row r="143" spans="1:26" ht="9" customHeight="1" x14ac:dyDescent="0.25">
      <c r="A143" s="43"/>
      <c r="B143" s="60"/>
      <c r="C143" s="43"/>
      <c r="D143" s="43"/>
      <c r="E143" s="43"/>
      <c r="F143" s="310"/>
      <c r="G143" s="300"/>
      <c r="H143" s="221"/>
      <c r="I143" s="221"/>
      <c r="J143" s="266"/>
      <c r="K143" s="43"/>
      <c r="L143" s="43"/>
      <c r="M143" s="43"/>
      <c r="N143" s="43"/>
      <c r="O143" s="43"/>
      <c r="P143" s="43"/>
      <c r="Q143" s="43"/>
      <c r="R143" s="43"/>
      <c r="S143" s="43"/>
      <c r="T143" s="43"/>
      <c r="U143" s="43"/>
      <c r="V143" s="43"/>
      <c r="W143" s="43"/>
      <c r="X143" s="43"/>
      <c r="Y143" s="43"/>
      <c r="Z143" s="43"/>
    </row>
    <row r="144" spans="1:26" ht="19.5" customHeight="1" x14ac:dyDescent="0.25">
      <c r="A144" s="43"/>
      <c r="B144" s="60"/>
      <c r="C144" s="43"/>
      <c r="D144" s="43"/>
      <c r="E144" s="43"/>
      <c r="F144" s="310"/>
      <c r="G144" s="300"/>
      <c r="H144" s="221"/>
      <c r="I144" s="221"/>
      <c r="J144" s="266"/>
      <c r="K144" s="43"/>
      <c r="L144" s="43"/>
      <c r="M144" s="43"/>
      <c r="N144" s="43"/>
      <c r="O144" s="43"/>
      <c r="P144" s="43"/>
      <c r="Q144" s="43"/>
      <c r="R144" s="43"/>
      <c r="S144" s="43"/>
      <c r="T144" s="43"/>
      <c r="U144" s="43"/>
      <c r="V144" s="43"/>
      <c r="W144" s="43"/>
      <c r="X144" s="43"/>
      <c r="Y144" s="43"/>
      <c r="Z144" s="43"/>
    </row>
    <row r="145" spans="1:26" ht="39.75" customHeight="1" x14ac:dyDescent="0.25">
      <c r="A145" s="43"/>
      <c r="B145" s="60"/>
      <c r="C145" s="43"/>
      <c r="D145" s="43"/>
      <c r="E145" s="43"/>
      <c r="F145" s="311"/>
      <c r="G145" s="301"/>
      <c r="H145" s="276"/>
      <c r="I145" s="276"/>
      <c r="J145" s="277"/>
      <c r="K145" s="43"/>
      <c r="L145" s="43"/>
      <c r="M145" s="43"/>
      <c r="N145" s="43"/>
      <c r="O145" s="43"/>
      <c r="P145" s="43"/>
      <c r="Q145" s="43"/>
      <c r="R145" s="43"/>
      <c r="S145" s="43"/>
      <c r="T145" s="43"/>
      <c r="U145" s="43"/>
      <c r="V145" s="43"/>
      <c r="W145" s="43"/>
      <c r="X145" s="43"/>
      <c r="Y145" s="43"/>
      <c r="Z145" s="43"/>
    </row>
    <row r="146" spans="1:26" ht="54.75" customHeight="1" x14ac:dyDescent="0.25">
      <c r="A146" s="43"/>
      <c r="B146" s="60"/>
      <c r="C146" s="43"/>
      <c r="D146" s="43"/>
      <c r="E146" s="43"/>
      <c r="F146" s="65" t="s">
        <v>0</v>
      </c>
      <c r="G146" s="302">
        <f>+'CONF '!$B$3</f>
        <v>0</v>
      </c>
      <c r="H146" s="303"/>
      <c r="I146" s="223"/>
      <c r="J146" s="67"/>
      <c r="K146" s="43"/>
      <c r="L146" s="43"/>
      <c r="M146" s="43"/>
      <c r="N146" s="43"/>
      <c r="O146" s="43"/>
      <c r="P146" s="43"/>
      <c r="Q146" s="43"/>
      <c r="R146" s="43"/>
      <c r="S146" s="43"/>
      <c r="T146" s="43"/>
      <c r="U146" s="43"/>
      <c r="V146" s="43"/>
      <c r="W146" s="43"/>
      <c r="X146" s="43"/>
      <c r="Y146" s="43"/>
      <c r="Z146" s="43"/>
    </row>
    <row r="147" spans="1:26" ht="14.25" customHeight="1" x14ac:dyDescent="0.25">
      <c r="A147" s="43"/>
      <c r="B147" s="60"/>
      <c r="C147" s="43"/>
      <c r="D147" s="43"/>
      <c r="E147" s="43"/>
      <c r="F147" s="61" t="s">
        <v>38</v>
      </c>
      <c r="G147" s="304">
        <f>+'CONF '!$D$2</f>
        <v>2</v>
      </c>
      <c r="H147" s="303"/>
      <c r="I147" s="223"/>
      <c r="J147" s="64"/>
      <c r="K147" s="43"/>
      <c r="L147" s="43"/>
      <c r="M147" s="43"/>
      <c r="N147" s="43"/>
      <c r="O147" s="43"/>
      <c r="P147" s="43"/>
      <c r="Q147" s="43"/>
      <c r="R147" s="43"/>
      <c r="S147" s="43"/>
      <c r="T147" s="43"/>
      <c r="U147" s="43"/>
      <c r="V147" s="43"/>
      <c r="W147" s="43"/>
      <c r="X147" s="43"/>
      <c r="Y147" s="43"/>
      <c r="Z147" s="43"/>
    </row>
    <row r="148" spans="1:26" ht="14.25" customHeight="1" x14ac:dyDescent="0.25">
      <c r="A148" s="43"/>
      <c r="B148" s="60"/>
      <c r="C148" s="43"/>
      <c r="D148" s="43"/>
      <c r="E148" s="43"/>
      <c r="F148" s="61"/>
      <c r="G148" s="65"/>
      <c r="H148" s="65"/>
      <c r="I148" s="65"/>
      <c r="J148" s="66"/>
      <c r="K148" s="43"/>
      <c r="L148" s="43"/>
      <c r="M148" s="43"/>
      <c r="N148" s="43"/>
      <c r="O148" s="43"/>
      <c r="P148" s="43"/>
      <c r="Q148" s="43"/>
      <c r="R148" s="43"/>
      <c r="S148" s="43"/>
      <c r="T148" s="43"/>
      <c r="U148" s="43"/>
      <c r="V148" s="43"/>
      <c r="W148" s="43"/>
      <c r="X148" s="43"/>
      <c r="Y148" s="43"/>
      <c r="Z148" s="43"/>
    </row>
    <row r="149" spans="1:26" ht="14.25" customHeight="1" x14ac:dyDescent="0.25">
      <c r="A149" s="43"/>
      <c r="B149" s="60"/>
      <c r="C149" s="43"/>
      <c r="D149" s="43"/>
      <c r="E149" s="43"/>
      <c r="F149" s="312" t="s">
        <v>39</v>
      </c>
      <c r="G149" s="223"/>
      <c r="H149" s="68">
        <f>+'CONF '!D58</f>
        <v>2360000</v>
      </c>
      <c r="I149" s="43"/>
      <c r="J149" s="69"/>
      <c r="K149" s="43"/>
      <c r="L149" s="43"/>
      <c r="M149" s="43"/>
      <c r="N149" s="43"/>
      <c r="O149" s="43"/>
      <c r="P149" s="43"/>
      <c r="Q149" s="43"/>
      <c r="R149" s="43"/>
      <c r="S149" s="43"/>
      <c r="T149" s="43"/>
      <c r="U149" s="43"/>
      <c r="V149" s="43"/>
      <c r="W149" s="43"/>
      <c r="X149" s="43"/>
      <c r="Y149" s="43"/>
      <c r="Z149" s="43"/>
    </row>
    <row r="150" spans="1:26" ht="24" customHeight="1" x14ac:dyDescent="0.25">
      <c r="A150" s="43"/>
      <c r="B150" s="60"/>
      <c r="C150" s="43"/>
      <c r="D150" s="43"/>
      <c r="E150" s="43"/>
      <c r="F150" s="305" t="s">
        <v>40</v>
      </c>
      <c r="G150" s="223"/>
      <c r="H150" s="68">
        <f>+VLOOKUP(G140,'TARIFAS '!$A$3:$O$239,8,FALSE)*G147</f>
        <v>68000</v>
      </c>
      <c r="I150" s="43"/>
      <c r="J150" s="66"/>
      <c r="K150" s="43"/>
      <c r="L150" s="43"/>
      <c r="M150" s="43"/>
      <c r="N150" s="43"/>
      <c r="O150" s="43"/>
      <c r="P150" s="43"/>
      <c r="Q150" s="43"/>
      <c r="R150" s="43"/>
      <c r="S150" s="43"/>
      <c r="T150" s="43"/>
      <c r="U150" s="43"/>
      <c r="V150" s="43"/>
      <c r="W150" s="43"/>
      <c r="X150" s="43"/>
      <c r="Y150" s="43"/>
      <c r="Z150" s="43"/>
    </row>
    <row r="151" spans="1:26" ht="14.25" customHeight="1" x14ac:dyDescent="0.25">
      <c r="A151" s="43"/>
      <c r="B151" s="60"/>
      <c r="C151" s="43"/>
      <c r="D151" s="43"/>
      <c r="E151" s="43"/>
      <c r="F151" s="65"/>
      <c r="G151" s="65"/>
      <c r="H151" s="65"/>
      <c r="I151" s="65"/>
      <c r="J151" s="66"/>
      <c r="K151" s="43"/>
      <c r="L151" s="43"/>
      <c r="M151" s="43"/>
      <c r="N151" s="43"/>
      <c r="O151" s="43"/>
      <c r="P151" s="43"/>
      <c r="Q151" s="43"/>
      <c r="R151" s="43"/>
      <c r="S151" s="43"/>
      <c r="T151" s="43"/>
      <c r="U151" s="43"/>
      <c r="V151" s="43"/>
      <c r="W151" s="43"/>
      <c r="X151" s="43"/>
      <c r="Y151" s="43"/>
      <c r="Z151" s="43"/>
    </row>
    <row r="152" spans="1:26" ht="14.25" customHeight="1" x14ac:dyDescent="0.25">
      <c r="A152" s="43"/>
      <c r="B152" s="70"/>
      <c r="C152" s="71"/>
      <c r="D152" s="71"/>
      <c r="E152" s="71"/>
      <c r="F152" s="72"/>
      <c r="G152" s="72"/>
      <c r="H152" s="72"/>
      <c r="I152" s="72"/>
      <c r="J152" s="73"/>
      <c r="K152" s="43"/>
      <c r="L152" s="43"/>
      <c r="M152" s="43"/>
      <c r="N152" s="43"/>
      <c r="O152" s="43"/>
      <c r="P152" s="43"/>
      <c r="Q152" s="43"/>
      <c r="R152" s="43"/>
      <c r="S152" s="43"/>
      <c r="T152" s="43"/>
      <c r="U152" s="43"/>
      <c r="V152" s="43"/>
      <c r="W152" s="43"/>
      <c r="X152" s="43"/>
      <c r="Y152" s="43"/>
      <c r="Z152" s="43"/>
    </row>
    <row r="153" spans="1:26" ht="14.25" customHeight="1" x14ac:dyDescent="0.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4.25" customHeight="1" x14ac:dyDescent="0.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4.25" customHeight="1" x14ac:dyDescent="0.25">
      <c r="A155" s="43"/>
      <c r="B155" s="74"/>
      <c r="C155" s="75"/>
      <c r="D155" s="75"/>
      <c r="E155" s="75"/>
      <c r="F155" s="75"/>
      <c r="G155" s="75"/>
      <c r="H155" s="75"/>
      <c r="I155" s="75"/>
      <c r="J155" s="76"/>
      <c r="K155" s="43"/>
      <c r="L155" s="43"/>
      <c r="M155" s="43"/>
      <c r="N155" s="43"/>
      <c r="O155" s="43"/>
      <c r="P155" s="43"/>
      <c r="Q155" s="43"/>
      <c r="R155" s="43"/>
      <c r="S155" s="43"/>
      <c r="T155" s="43"/>
      <c r="U155" s="43"/>
      <c r="V155" s="43"/>
      <c r="W155" s="43"/>
      <c r="X155" s="43"/>
      <c r="Y155" s="43"/>
      <c r="Z155" s="43"/>
    </row>
    <row r="156" spans="1:26" ht="14.25" customHeight="1" x14ac:dyDescent="0.25">
      <c r="A156" s="43"/>
      <c r="B156" s="60"/>
      <c r="C156" s="43"/>
      <c r="D156" s="43"/>
      <c r="E156" s="43"/>
      <c r="F156" s="43"/>
      <c r="G156" s="43"/>
      <c r="H156" s="43"/>
      <c r="I156" s="43"/>
      <c r="J156" s="77"/>
      <c r="K156" s="43"/>
      <c r="L156" s="43"/>
      <c r="M156" s="43"/>
      <c r="N156" s="43"/>
      <c r="O156" s="43"/>
      <c r="P156" s="43"/>
      <c r="Q156" s="43"/>
      <c r="R156" s="43"/>
      <c r="S156" s="43"/>
      <c r="T156" s="43"/>
      <c r="U156" s="43"/>
      <c r="V156" s="43"/>
      <c r="W156" s="43"/>
      <c r="X156" s="43"/>
      <c r="Y156" s="43"/>
      <c r="Z156" s="43"/>
    </row>
    <row r="157" spans="1:26" ht="17.25" customHeight="1" x14ac:dyDescent="0.25">
      <c r="A157" s="43"/>
      <c r="B157" s="60"/>
      <c r="C157" s="43"/>
      <c r="D157" s="43"/>
      <c r="E157" s="43"/>
      <c r="F157" s="61" t="s">
        <v>28</v>
      </c>
      <c r="G157" s="307">
        <f>+'CONF '!A13</f>
        <v>45614</v>
      </c>
      <c r="H157" s="303"/>
      <c r="I157" s="223"/>
      <c r="J157" s="62"/>
      <c r="K157" s="43"/>
      <c r="L157" s="43"/>
      <c r="M157" s="43"/>
      <c r="N157" s="43"/>
      <c r="O157" s="43"/>
      <c r="P157" s="43"/>
      <c r="Q157" s="43"/>
      <c r="R157" s="43"/>
      <c r="S157" s="43"/>
      <c r="T157" s="43"/>
      <c r="U157" s="43"/>
      <c r="V157" s="43"/>
      <c r="W157" s="43"/>
      <c r="X157" s="43"/>
      <c r="Y157" s="43"/>
      <c r="Z157" s="43"/>
    </row>
    <row r="158" spans="1:26" ht="11.25" customHeight="1" x14ac:dyDescent="0.25">
      <c r="A158" s="43"/>
      <c r="B158" s="60"/>
      <c r="C158" s="43"/>
      <c r="D158" s="43"/>
      <c r="E158" s="43"/>
      <c r="F158" s="61"/>
      <c r="G158" s="63"/>
      <c r="H158" s="63"/>
      <c r="I158" s="63"/>
      <c r="J158" s="62"/>
      <c r="K158" s="43"/>
      <c r="L158" s="43"/>
      <c r="M158" s="43"/>
      <c r="N158" s="43"/>
      <c r="O158" s="43"/>
      <c r="P158" s="43"/>
      <c r="Q158" s="43"/>
      <c r="R158" s="43"/>
      <c r="S158" s="43"/>
      <c r="T158" s="43"/>
      <c r="U158" s="43"/>
      <c r="V158" s="43"/>
      <c r="W158" s="43"/>
      <c r="X158" s="43"/>
      <c r="Y158" s="43"/>
      <c r="Z158" s="43"/>
    </row>
    <row r="159" spans="1:26" ht="14.25" customHeight="1" x14ac:dyDescent="0.25">
      <c r="A159" s="43"/>
      <c r="B159" s="60"/>
      <c r="C159" s="43"/>
      <c r="D159" s="43"/>
      <c r="E159" s="43"/>
      <c r="F159" s="61" t="s">
        <v>30</v>
      </c>
      <c r="G159" s="308" t="str">
        <f>+'CONF '!B13</f>
        <v>Tour en lancha privativa JOE 2024</v>
      </c>
      <c r="H159" s="303"/>
      <c r="I159" s="223"/>
      <c r="J159" s="64"/>
      <c r="K159" s="43"/>
      <c r="L159" s="43"/>
      <c r="M159" s="43"/>
      <c r="N159" s="43"/>
      <c r="O159" s="43"/>
      <c r="P159" s="43"/>
      <c r="Q159" s="43"/>
      <c r="R159" s="43"/>
      <c r="S159" s="43"/>
      <c r="T159" s="43"/>
      <c r="U159" s="43"/>
      <c r="V159" s="43"/>
      <c r="W159" s="43"/>
      <c r="X159" s="43"/>
      <c r="Y159" s="43"/>
      <c r="Z159" s="43"/>
    </row>
    <row r="160" spans="1:26" ht="14.25" customHeight="1" x14ac:dyDescent="0.25">
      <c r="A160" s="43"/>
      <c r="B160" s="60"/>
      <c r="C160" s="43"/>
      <c r="D160" s="43"/>
      <c r="E160" s="43"/>
      <c r="F160" s="61"/>
      <c r="G160" s="65"/>
      <c r="H160" s="65"/>
      <c r="I160" s="65"/>
      <c r="J160" s="66"/>
      <c r="K160" s="43"/>
      <c r="L160" s="43"/>
      <c r="M160" s="43"/>
      <c r="N160" s="43"/>
      <c r="O160" s="43"/>
      <c r="P160" s="43"/>
      <c r="Q160" s="43"/>
      <c r="R160" s="43"/>
      <c r="S160" s="43"/>
      <c r="T160" s="43"/>
      <c r="U160" s="43"/>
      <c r="V160" s="43"/>
      <c r="W160" s="43"/>
      <c r="X160" s="43"/>
      <c r="Y160" s="43"/>
      <c r="Z160" s="43"/>
    </row>
    <row r="161" spans="1:26" ht="15" customHeight="1" x14ac:dyDescent="0.25">
      <c r="A161" s="43"/>
      <c r="B161" s="60"/>
      <c r="C161" s="43"/>
      <c r="D161" s="43"/>
      <c r="E161" s="43"/>
      <c r="F161" s="309" t="s">
        <v>37</v>
      </c>
      <c r="G161" s="313" t="s">
        <v>41</v>
      </c>
      <c r="H161" s="279"/>
      <c r="I161" s="279"/>
      <c r="J161" s="280"/>
      <c r="K161" s="43"/>
      <c r="L161" s="43"/>
      <c r="M161" s="43"/>
      <c r="N161" s="43"/>
      <c r="O161" s="43"/>
      <c r="P161" s="43"/>
      <c r="Q161" s="43"/>
      <c r="R161" s="43"/>
      <c r="S161" s="43"/>
      <c r="T161" s="43"/>
      <c r="U161" s="43"/>
      <c r="V161" s="43"/>
      <c r="W161" s="43"/>
      <c r="X161" s="43"/>
      <c r="Y161" s="43"/>
      <c r="Z161" s="43"/>
    </row>
    <row r="162" spans="1:26" ht="9" customHeight="1" x14ac:dyDescent="0.25">
      <c r="A162" s="43"/>
      <c r="B162" s="60"/>
      <c r="C162" s="43"/>
      <c r="D162" s="43"/>
      <c r="E162" s="43"/>
      <c r="F162" s="310"/>
      <c r="G162" s="300"/>
      <c r="H162" s="221"/>
      <c r="I162" s="221"/>
      <c r="J162" s="266"/>
      <c r="K162" s="43"/>
      <c r="L162" s="43"/>
      <c r="M162" s="43"/>
      <c r="N162" s="43"/>
      <c r="O162" s="43"/>
      <c r="P162" s="43"/>
      <c r="Q162" s="43"/>
      <c r="R162" s="43"/>
      <c r="S162" s="43"/>
      <c r="T162" s="43"/>
      <c r="U162" s="43"/>
      <c r="V162" s="43"/>
      <c r="W162" s="43"/>
      <c r="X162" s="43"/>
      <c r="Y162" s="43"/>
      <c r="Z162" s="43"/>
    </row>
    <row r="163" spans="1:26" ht="19.5" customHeight="1" x14ac:dyDescent="0.25">
      <c r="A163" s="43"/>
      <c r="B163" s="60"/>
      <c r="C163" s="43"/>
      <c r="D163" s="43"/>
      <c r="E163" s="43"/>
      <c r="F163" s="310"/>
      <c r="G163" s="300"/>
      <c r="H163" s="221"/>
      <c r="I163" s="221"/>
      <c r="J163" s="266"/>
      <c r="K163" s="43"/>
      <c r="L163" s="43"/>
      <c r="M163" s="43"/>
      <c r="N163" s="43"/>
      <c r="O163" s="43"/>
      <c r="P163" s="43"/>
      <c r="Q163" s="43"/>
      <c r="R163" s="43"/>
      <c r="S163" s="43"/>
      <c r="T163" s="43"/>
      <c r="U163" s="43"/>
      <c r="V163" s="43"/>
      <c r="W163" s="43"/>
      <c r="X163" s="43"/>
      <c r="Y163" s="43"/>
      <c r="Z163" s="43"/>
    </row>
    <row r="164" spans="1:26" ht="39.75" customHeight="1" x14ac:dyDescent="0.25">
      <c r="A164" s="43"/>
      <c r="B164" s="60"/>
      <c r="C164" s="43"/>
      <c r="D164" s="43"/>
      <c r="E164" s="43"/>
      <c r="F164" s="311"/>
      <c r="G164" s="301"/>
      <c r="H164" s="276"/>
      <c r="I164" s="276"/>
      <c r="J164" s="277"/>
      <c r="K164" s="43"/>
      <c r="L164" s="43"/>
      <c r="M164" s="43"/>
      <c r="N164" s="43"/>
      <c r="O164" s="43"/>
      <c r="P164" s="43"/>
      <c r="Q164" s="43"/>
      <c r="R164" s="43"/>
      <c r="S164" s="43"/>
      <c r="T164" s="43"/>
      <c r="U164" s="43"/>
      <c r="V164" s="43"/>
      <c r="W164" s="43"/>
      <c r="X164" s="43"/>
      <c r="Y164" s="43"/>
      <c r="Z164" s="43"/>
    </row>
    <row r="165" spans="1:26" ht="54.75" customHeight="1" x14ac:dyDescent="0.25">
      <c r="A165" s="43"/>
      <c r="B165" s="60"/>
      <c r="C165" s="43"/>
      <c r="D165" s="43"/>
      <c r="E165" s="43"/>
      <c r="F165" s="65" t="s">
        <v>0</v>
      </c>
      <c r="G165" s="302">
        <f>+'CONF '!$B$3</f>
        <v>0</v>
      </c>
      <c r="H165" s="303"/>
      <c r="I165" s="223"/>
      <c r="J165" s="67"/>
      <c r="K165" s="43"/>
      <c r="L165" s="43"/>
      <c r="M165" s="43"/>
      <c r="N165" s="43"/>
      <c r="O165" s="43"/>
      <c r="P165" s="43"/>
      <c r="Q165" s="43"/>
      <c r="R165" s="43"/>
      <c r="S165" s="43"/>
      <c r="T165" s="43"/>
      <c r="U165" s="43"/>
      <c r="V165" s="43"/>
      <c r="W165" s="43"/>
      <c r="X165" s="43"/>
      <c r="Y165" s="43"/>
      <c r="Z165" s="43"/>
    </row>
    <row r="166" spans="1:26" ht="14.25" customHeight="1" x14ac:dyDescent="0.25">
      <c r="A166" s="43"/>
      <c r="B166" s="60"/>
      <c r="C166" s="43"/>
      <c r="D166" s="43"/>
      <c r="E166" s="43"/>
      <c r="F166" s="61" t="s">
        <v>38</v>
      </c>
      <c r="G166" s="304">
        <f>+'CONF '!$D$2</f>
        <v>2</v>
      </c>
      <c r="H166" s="303"/>
      <c r="I166" s="223"/>
      <c r="J166" s="64"/>
      <c r="K166" s="43"/>
      <c r="L166" s="43"/>
      <c r="M166" s="43"/>
      <c r="N166" s="43"/>
      <c r="O166" s="43"/>
      <c r="P166" s="43"/>
      <c r="Q166" s="43"/>
      <c r="R166" s="43"/>
      <c r="S166" s="43"/>
      <c r="T166" s="43"/>
      <c r="U166" s="43"/>
      <c r="V166" s="43"/>
      <c r="W166" s="43"/>
      <c r="X166" s="43"/>
      <c r="Y166" s="43"/>
      <c r="Z166" s="43"/>
    </row>
    <row r="167" spans="1:26" ht="14.25" customHeight="1" x14ac:dyDescent="0.25">
      <c r="A167" s="43"/>
      <c r="B167" s="60"/>
      <c r="C167" s="43"/>
      <c r="D167" s="43"/>
      <c r="E167" s="43"/>
      <c r="F167" s="61"/>
      <c r="G167" s="65"/>
      <c r="H167" s="65"/>
      <c r="I167" s="65"/>
      <c r="J167" s="66"/>
      <c r="K167" s="43"/>
      <c r="L167" s="43"/>
      <c r="M167" s="43"/>
      <c r="N167" s="43"/>
      <c r="O167" s="43"/>
      <c r="P167" s="43"/>
      <c r="Q167" s="43"/>
      <c r="R167" s="43"/>
      <c r="S167" s="43"/>
      <c r="T167" s="43"/>
      <c r="U167" s="43"/>
      <c r="V167" s="43"/>
      <c r="W167" s="43"/>
      <c r="X167" s="43"/>
      <c r="Y167" s="43"/>
      <c r="Z167" s="43"/>
    </row>
    <row r="168" spans="1:26" ht="14.25" customHeight="1" x14ac:dyDescent="0.25">
      <c r="A168" s="43"/>
      <c r="B168" s="60"/>
      <c r="C168" s="43"/>
      <c r="D168" s="43"/>
      <c r="E168" s="43"/>
      <c r="F168" s="312" t="s">
        <v>39</v>
      </c>
      <c r="G168" s="223"/>
      <c r="H168" s="68">
        <f>+'CONF '!D59</f>
        <v>2700000</v>
      </c>
      <c r="I168" s="43"/>
      <c r="J168" s="69"/>
      <c r="K168" s="43"/>
      <c r="L168" s="43"/>
      <c r="M168" s="43"/>
      <c r="N168" s="43"/>
      <c r="O168" s="43"/>
      <c r="P168" s="43"/>
      <c r="Q168" s="43"/>
      <c r="R168" s="43"/>
      <c r="S168" s="43"/>
      <c r="T168" s="43"/>
      <c r="U168" s="43"/>
      <c r="V168" s="43"/>
      <c r="W168" s="43"/>
      <c r="X168" s="43"/>
      <c r="Y168" s="43"/>
      <c r="Z168" s="43"/>
    </row>
    <row r="169" spans="1:26" ht="24" customHeight="1" x14ac:dyDescent="0.25">
      <c r="A169" s="43"/>
      <c r="B169" s="60"/>
      <c r="C169" s="43"/>
      <c r="D169" s="43"/>
      <c r="E169" s="43"/>
      <c r="F169" s="305" t="s">
        <v>40</v>
      </c>
      <c r="G169" s="223"/>
      <c r="H169" s="68">
        <f>+VLOOKUP(G159,'TARIFAS '!$A$3:$O$239,8,FALSE)*G166</f>
        <v>0</v>
      </c>
      <c r="I169" s="43"/>
      <c r="J169" s="66"/>
      <c r="K169" s="43"/>
      <c r="L169" s="43"/>
      <c r="M169" s="43"/>
      <c r="N169" s="43"/>
      <c r="O169" s="43"/>
      <c r="P169" s="43"/>
      <c r="Q169" s="43"/>
      <c r="R169" s="43"/>
      <c r="S169" s="43"/>
      <c r="T169" s="43"/>
      <c r="U169" s="43"/>
      <c r="V169" s="43"/>
      <c r="W169" s="43"/>
      <c r="X169" s="43"/>
      <c r="Y169" s="43"/>
      <c r="Z169" s="43"/>
    </row>
    <row r="170" spans="1:26" ht="14.25" customHeight="1" x14ac:dyDescent="0.25">
      <c r="A170" s="43"/>
      <c r="B170" s="60"/>
      <c r="C170" s="43"/>
      <c r="D170" s="43"/>
      <c r="E170" s="43"/>
      <c r="F170" s="65"/>
      <c r="G170" s="65"/>
      <c r="H170" s="65"/>
      <c r="I170" s="65"/>
      <c r="J170" s="66"/>
      <c r="K170" s="43"/>
      <c r="L170" s="43"/>
      <c r="M170" s="43"/>
      <c r="N170" s="43"/>
      <c r="O170" s="43"/>
      <c r="P170" s="43"/>
      <c r="Q170" s="43"/>
      <c r="R170" s="43"/>
      <c r="S170" s="43"/>
      <c r="T170" s="43"/>
      <c r="U170" s="43"/>
      <c r="V170" s="43"/>
      <c r="W170" s="43"/>
      <c r="X170" s="43"/>
      <c r="Y170" s="43"/>
      <c r="Z170" s="43"/>
    </row>
    <row r="171" spans="1:26" ht="14.25" customHeight="1" x14ac:dyDescent="0.25">
      <c r="A171" s="43"/>
      <c r="B171" s="70"/>
      <c r="C171" s="71"/>
      <c r="D171" s="71"/>
      <c r="E171" s="71"/>
      <c r="F171" s="72"/>
      <c r="G171" s="72"/>
      <c r="H171" s="72"/>
      <c r="I171" s="72"/>
      <c r="J171" s="73"/>
      <c r="K171" s="43"/>
      <c r="L171" s="43"/>
      <c r="M171" s="43"/>
      <c r="N171" s="43"/>
      <c r="O171" s="43"/>
      <c r="P171" s="43"/>
      <c r="Q171" s="43"/>
      <c r="R171" s="43"/>
      <c r="S171" s="43"/>
      <c r="T171" s="43"/>
      <c r="U171" s="43"/>
      <c r="V171" s="43"/>
      <c r="W171" s="43"/>
      <c r="X171" s="43"/>
      <c r="Y171" s="43"/>
      <c r="Z171" s="43"/>
    </row>
    <row r="172" spans="1:26" ht="14.25" customHeight="1" x14ac:dyDescent="0.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4.25" customHeight="1" x14ac:dyDescent="0.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4.25" customHeight="1" x14ac:dyDescent="0.25">
      <c r="A174" s="43"/>
      <c r="B174" s="74"/>
      <c r="C174" s="75"/>
      <c r="D174" s="75"/>
      <c r="E174" s="75"/>
      <c r="F174" s="75"/>
      <c r="G174" s="75"/>
      <c r="H174" s="75"/>
      <c r="I174" s="75"/>
      <c r="J174" s="76"/>
      <c r="K174" s="43"/>
      <c r="L174" s="43"/>
      <c r="M174" s="43"/>
      <c r="N174" s="43"/>
      <c r="O174" s="43"/>
      <c r="P174" s="43"/>
      <c r="Q174" s="43"/>
      <c r="R174" s="43"/>
      <c r="S174" s="43"/>
      <c r="T174" s="43"/>
      <c r="U174" s="43"/>
      <c r="V174" s="43"/>
      <c r="W174" s="43"/>
      <c r="X174" s="43"/>
      <c r="Y174" s="43"/>
      <c r="Z174" s="43"/>
    </row>
    <row r="175" spans="1:26" ht="14.25" customHeight="1" x14ac:dyDescent="0.25">
      <c r="A175" s="43"/>
      <c r="B175" s="60"/>
      <c r="C175" s="43"/>
      <c r="D175" s="43"/>
      <c r="E175" s="43"/>
      <c r="F175" s="43"/>
      <c r="G175" s="43"/>
      <c r="H175" s="43"/>
      <c r="I175" s="43"/>
      <c r="J175" s="77"/>
      <c r="K175" s="43"/>
      <c r="L175" s="43"/>
      <c r="M175" s="43"/>
      <c r="N175" s="43"/>
      <c r="O175" s="43"/>
      <c r="P175" s="43"/>
      <c r="Q175" s="43"/>
      <c r="R175" s="43"/>
      <c r="S175" s="43"/>
      <c r="T175" s="43"/>
      <c r="U175" s="43"/>
      <c r="V175" s="43"/>
      <c r="W175" s="43"/>
      <c r="X175" s="43"/>
      <c r="Y175" s="43"/>
      <c r="Z175" s="43"/>
    </row>
    <row r="176" spans="1:26" ht="15.75" customHeight="1" x14ac:dyDescent="0.25">
      <c r="A176" s="43"/>
      <c r="B176" s="60"/>
      <c r="C176" s="43"/>
      <c r="D176" s="43"/>
      <c r="E176" s="43"/>
      <c r="F176" s="61" t="s">
        <v>28</v>
      </c>
      <c r="G176" s="307">
        <f>+'CONF '!A14</f>
        <v>45615</v>
      </c>
      <c r="H176" s="303"/>
      <c r="I176" s="223"/>
      <c r="J176" s="62"/>
      <c r="K176" s="43"/>
      <c r="L176" s="43"/>
      <c r="M176" s="43"/>
      <c r="N176" s="43"/>
      <c r="O176" s="43"/>
      <c r="P176" s="43"/>
      <c r="Q176" s="43"/>
      <c r="R176" s="43"/>
      <c r="S176" s="43"/>
      <c r="T176" s="43"/>
      <c r="U176" s="43"/>
      <c r="V176" s="43"/>
      <c r="W176" s="43"/>
      <c r="X176" s="43"/>
      <c r="Y176" s="43"/>
      <c r="Z176" s="43"/>
    </row>
    <row r="177" spans="1:26" ht="9" customHeight="1" x14ac:dyDescent="0.25">
      <c r="A177" s="43"/>
      <c r="B177" s="60"/>
      <c r="C177" s="43"/>
      <c r="D177" s="43"/>
      <c r="E177" s="43"/>
      <c r="F177" s="61"/>
      <c r="G177" s="63"/>
      <c r="H177" s="63"/>
      <c r="I177" s="63"/>
      <c r="J177" s="62"/>
      <c r="K177" s="43"/>
      <c r="L177" s="43"/>
      <c r="M177" s="43"/>
      <c r="N177" s="43"/>
      <c r="O177" s="43"/>
      <c r="P177" s="43"/>
      <c r="Q177" s="43"/>
      <c r="R177" s="43"/>
      <c r="S177" s="43"/>
      <c r="T177" s="43"/>
      <c r="U177" s="43"/>
      <c r="V177" s="43"/>
      <c r="W177" s="43"/>
      <c r="X177" s="43"/>
      <c r="Y177" s="43"/>
      <c r="Z177" s="43"/>
    </row>
    <row r="178" spans="1:26" ht="14.25" customHeight="1" x14ac:dyDescent="0.25">
      <c r="A178" s="43"/>
      <c r="B178" s="60"/>
      <c r="C178" s="43"/>
      <c r="D178" s="43"/>
      <c r="E178" s="43"/>
      <c r="F178" s="61" t="s">
        <v>30</v>
      </c>
      <c r="G178" s="308" t="str">
        <f>+'CONF '!B14</f>
        <v>City Tour + Catedral de Sal Privativo</v>
      </c>
      <c r="H178" s="303"/>
      <c r="I178" s="223"/>
      <c r="J178" s="64"/>
      <c r="K178" s="43"/>
      <c r="L178" s="43"/>
      <c r="M178" s="43"/>
      <c r="N178" s="43"/>
      <c r="O178" s="43"/>
      <c r="P178" s="43"/>
      <c r="Q178" s="43"/>
      <c r="R178" s="43"/>
      <c r="S178" s="43"/>
      <c r="T178" s="43"/>
      <c r="U178" s="43"/>
      <c r="V178" s="43"/>
      <c r="W178" s="43"/>
      <c r="X178" s="43"/>
      <c r="Y178" s="43"/>
      <c r="Z178" s="43"/>
    </row>
    <row r="179" spans="1:26" ht="14.25" customHeight="1" x14ac:dyDescent="0.25">
      <c r="A179" s="43"/>
      <c r="B179" s="60"/>
      <c r="C179" s="43"/>
      <c r="D179" s="43"/>
      <c r="E179" s="43"/>
      <c r="F179" s="61"/>
      <c r="G179" s="65"/>
      <c r="H179" s="65"/>
      <c r="I179" s="65"/>
      <c r="J179" s="66"/>
      <c r="K179" s="43"/>
      <c r="L179" s="43"/>
      <c r="M179" s="43"/>
      <c r="N179" s="43"/>
      <c r="O179" s="43"/>
      <c r="P179" s="43"/>
      <c r="Q179" s="43"/>
      <c r="R179" s="43"/>
      <c r="S179" s="43"/>
      <c r="T179" s="43"/>
      <c r="U179" s="43"/>
      <c r="V179" s="43"/>
      <c r="W179" s="43"/>
      <c r="X179" s="43"/>
      <c r="Y179" s="43"/>
      <c r="Z179" s="43"/>
    </row>
    <row r="180" spans="1:26" ht="15" customHeight="1" x14ac:dyDescent="0.25">
      <c r="A180" s="43"/>
      <c r="B180" s="60"/>
      <c r="C180" s="43"/>
      <c r="D180" s="43"/>
      <c r="E180" s="43"/>
      <c r="F180" s="309" t="s">
        <v>37</v>
      </c>
      <c r="G180" s="299">
        <f>+VLOOKUP(G178,'TARIFAS '!$A$3:$N$239,7,FALSE)</f>
        <v>0</v>
      </c>
      <c r="H180" s="279"/>
      <c r="I180" s="279"/>
      <c r="J180" s="280"/>
      <c r="K180" s="43"/>
      <c r="L180" s="43"/>
      <c r="M180" s="43"/>
      <c r="N180" s="43"/>
      <c r="O180" s="43"/>
      <c r="P180" s="43"/>
      <c r="Q180" s="43"/>
      <c r="R180" s="43"/>
      <c r="S180" s="43"/>
      <c r="T180" s="43"/>
      <c r="U180" s="43"/>
      <c r="V180" s="43"/>
      <c r="W180" s="43"/>
      <c r="X180" s="43"/>
      <c r="Y180" s="43"/>
      <c r="Z180" s="43"/>
    </row>
    <row r="181" spans="1:26" ht="9" customHeight="1" x14ac:dyDescent="0.25">
      <c r="A181" s="43"/>
      <c r="B181" s="60"/>
      <c r="C181" s="43"/>
      <c r="D181" s="43"/>
      <c r="E181" s="43"/>
      <c r="F181" s="310"/>
      <c r="G181" s="300"/>
      <c r="H181" s="221"/>
      <c r="I181" s="221"/>
      <c r="J181" s="266"/>
      <c r="K181" s="43"/>
      <c r="L181" s="43"/>
      <c r="M181" s="43"/>
      <c r="N181" s="43"/>
      <c r="O181" s="43"/>
      <c r="P181" s="43"/>
      <c r="Q181" s="43"/>
      <c r="R181" s="43"/>
      <c r="S181" s="43"/>
      <c r="T181" s="43"/>
      <c r="U181" s="43"/>
      <c r="V181" s="43"/>
      <c r="W181" s="43"/>
      <c r="X181" s="43"/>
      <c r="Y181" s="43"/>
      <c r="Z181" s="43"/>
    </row>
    <row r="182" spans="1:26" ht="19.5" customHeight="1" x14ac:dyDescent="0.25">
      <c r="A182" s="43"/>
      <c r="B182" s="60"/>
      <c r="C182" s="43"/>
      <c r="D182" s="43"/>
      <c r="E182" s="43"/>
      <c r="F182" s="310"/>
      <c r="G182" s="300"/>
      <c r="H182" s="221"/>
      <c r="I182" s="221"/>
      <c r="J182" s="266"/>
      <c r="K182" s="43"/>
      <c r="L182" s="43"/>
      <c r="M182" s="43"/>
      <c r="N182" s="43"/>
      <c r="O182" s="43"/>
      <c r="P182" s="43"/>
      <c r="Q182" s="43"/>
      <c r="R182" s="43"/>
      <c r="S182" s="43"/>
      <c r="T182" s="43"/>
      <c r="U182" s="43"/>
      <c r="V182" s="43"/>
      <c r="W182" s="43"/>
      <c r="X182" s="43"/>
      <c r="Y182" s="43"/>
      <c r="Z182" s="43"/>
    </row>
    <row r="183" spans="1:26" ht="39.75" customHeight="1" x14ac:dyDescent="0.25">
      <c r="A183" s="43"/>
      <c r="B183" s="60"/>
      <c r="C183" s="43"/>
      <c r="D183" s="43"/>
      <c r="E183" s="43"/>
      <c r="F183" s="311"/>
      <c r="G183" s="301"/>
      <c r="H183" s="276"/>
      <c r="I183" s="276"/>
      <c r="J183" s="277"/>
      <c r="K183" s="43"/>
      <c r="L183" s="43"/>
      <c r="M183" s="43"/>
      <c r="N183" s="43"/>
      <c r="O183" s="43"/>
      <c r="P183" s="43"/>
      <c r="Q183" s="43"/>
      <c r="R183" s="43"/>
      <c r="S183" s="43"/>
      <c r="T183" s="43"/>
      <c r="U183" s="43"/>
      <c r="V183" s="43"/>
      <c r="W183" s="43"/>
      <c r="X183" s="43"/>
      <c r="Y183" s="43"/>
      <c r="Z183" s="43"/>
    </row>
    <row r="184" spans="1:26" ht="54.75" customHeight="1" x14ac:dyDescent="0.25">
      <c r="A184" s="43"/>
      <c r="B184" s="60"/>
      <c r="C184" s="43"/>
      <c r="D184" s="43"/>
      <c r="E184" s="43"/>
      <c r="F184" s="65" t="s">
        <v>0</v>
      </c>
      <c r="G184" s="302">
        <f>+'CONF '!$B$3</f>
        <v>0</v>
      </c>
      <c r="H184" s="303"/>
      <c r="I184" s="223"/>
      <c r="J184" s="67"/>
      <c r="K184" s="43"/>
      <c r="L184" s="43"/>
      <c r="M184" s="43"/>
      <c r="N184" s="43"/>
      <c r="O184" s="43"/>
      <c r="P184" s="43"/>
      <c r="Q184" s="43"/>
      <c r="R184" s="43"/>
      <c r="S184" s="43"/>
      <c r="T184" s="43"/>
      <c r="U184" s="43"/>
      <c r="V184" s="43"/>
      <c r="W184" s="43"/>
      <c r="X184" s="43"/>
      <c r="Y184" s="43"/>
      <c r="Z184" s="43"/>
    </row>
    <row r="185" spans="1:26" ht="14.25" customHeight="1" x14ac:dyDescent="0.25">
      <c r="A185" s="43"/>
      <c r="B185" s="60"/>
      <c r="C185" s="43"/>
      <c r="D185" s="43"/>
      <c r="E185" s="43"/>
      <c r="F185" s="61" t="s">
        <v>38</v>
      </c>
      <c r="G185" s="304">
        <f>+'CONF '!$D$2</f>
        <v>2</v>
      </c>
      <c r="H185" s="303"/>
      <c r="I185" s="223"/>
      <c r="J185" s="64"/>
      <c r="K185" s="43"/>
      <c r="L185" s="43"/>
      <c r="M185" s="43"/>
      <c r="N185" s="43"/>
      <c r="O185" s="43"/>
      <c r="P185" s="43"/>
      <c r="Q185" s="43"/>
      <c r="R185" s="43"/>
      <c r="S185" s="43"/>
      <c r="T185" s="43"/>
      <c r="U185" s="43"/>
      <c r="V185" s="43"/>
      <c r="W185" s="43"/>
      <c r="X185" s="43"/>
      <c r="Y185" s="43"/>
      <c r="Z185" s="43"/>
    </row>
    <row r="186" spans="1:26" ht="14.25" customHeight="1" x14ac:dyDescent="0.25">
      <c r="A186" s="43"/>
      <c r="B186" s="60"/>
      <c r="C186" s="43"/>
      <c r="D186" s="43"/>
      <c r="E186" s="43"/>
      <c r="F186" s="61"/>
      <c r="G186" s="65"/>
      <c r="H186" s="65"/>
      <c r="I186" s="65"/>
      <c r="J186" s="66"/>
      <c r="K186" s="43"/>
      <c r="L186" s="43"/>
      <c r="M186" s="43"/>
      <c r="N186" s="43"/>
      <c r="O186" s="43"/>
      <c r="P186" s="43"/>
      <c r="Q186" s="43"/>
      <c r="R186" s="43"/>
      <c r="S186" s="43"/>
      <c r="T186" s="43"/>
      <c r="U186" s="43"/>
      <c r="V186" s="43"/>
      <c r="W186" s="43"/>
      <c r="X186" s="43"/>
      <c r="Y186" s="43"/>
      <c r="Z186" s="43"/>
    </row>
    <row r="187" spans="1:26" ht="14.25" customHeight="1" x14ac:dyDescent="0.25">
      <c r="A187" s="43"/>
      <c r="B187" s="60"/>
      <c r="C187" s="43"/>
      <c r="D187" s="43"/>
      <c r="E187" s="43"/>
      <c r="F187" s="312" t="s">
        <v>39</v>
      </c>
      <c r="G187" s="223"/>
      <c r="H187" s="68">
        <f>+'CONF '!D60</f>
        <v>700000</v>
      </c>
      <c r="I187" s="43"/>
      <c r="J187" s="69"/>
      <c r="K187" s="43"/>
      <c r="L187" s="43"/>
      <c r="M187" s="43"/>
      <c r="N187" s="43"/>
      <c r="O187" s="43"/>
      <c r="P187" s="43"/>
      <c r="Q187" s="43"/>
      <c r="R187" s="43"/>
      <c r="S187" s="43"/>
      <c r="T187" s="43"/>
      <c r="U187" s="43"/>
      <c r="V187" s="43"/>
      <c r="W187" s="43"/>
      <c r="X187" s="43"/>
      <c r="Y187" s="43"/>
      <c r="Z187" s="43"/>
    </row>
    <row r="188" spans="1:26" ht="24" customHeight="1" x14ac:dyDescent="0.25">
      <c r="A188" s="43"/>
      <c r="B188" s="60"/>
      <c r="C188" s="43"/>
      <c r="D188" s="43"/>
      <c r="E188" s="43"/>
      <c r="F188" s="305" t="s">
        <v>40</v>
      </c>
      <c r="G188" s="223"/>
      <c r="H188" s="68">
        <f>+VLOOKUP(G178,'TARIFAS '!$A$3:$O$239,8,FALSE)*G185</f>
        <v>0</v>
      </c>
      <c r="I188" s="43"/>
      <c r="J188" s="66"/>
      <c r="K188" s="43"/>
      <c r="L188" s="43"/>
      <c r="M188" s="43"/>
      <c r="N188" s="43"/>
      <c r="O188" s="43"/>
      <c r="P188" s="43"/>
      <c r="Q188" s="43"/>
      <c r="R188" s="43"/>
      <c r="S188" s="43"/>
      <c r="T188" s="43"/>
      <c r="U188" s="43"/>
      <c r="V188" s="43"/>
      <c r="W188" s="43"/>
      <c r="X188" s="43"/>
      <c r="Y188" s="43"/>
      <c r="Z188" s="43"/>
    </row>
    <row r="189" spans="1:26" ht="14.25" customHeight="1" x14ac:dyDescent="0.25">
      <c r="A189" s="43"/>
      <c r="B189" s="60"/>
      <c r="C189" s="43"/>
      <c r="D189" s="43"/>
      <c r="E189" s="43"/>
      <c r="F189" s="65"/>
      <c r="G189" s="65"/>
      <c r="H189" s="65"/>
      <c r="I189" s="65"/>
      <c r="J189" s="66"/>
      <c r="K189" s="43"/>
      <c r="L189" s="43"/>
      <c r="M189" s="43"/>
      <c r="N189" s="43"/>
      <c r="O189" s="43"/>
      <c r="P189" s="43"/>
      <c r="Q189" s="43"/>
      <c r="R189" s="43"/>
      <c r="S189" s="43"/>
      <c r="T189" s="43"/>
      <c r="U189" s="43"/>
      <c r="V189" s="43"/>
      <c r="W189" s="43"/>
      <c r="X189" s="43"/>
      <c r="Y189" s="43"/>
      <c r="Z189" s="43"/>
    </row>
    <row r="190" spans="1:26" ht="14.25" customHeight="1" x14ac:dyDescent="0.25">
      <c r="A190" s="43"/>
      <c r="B190" s="70"/>
      <c r="C190" s="71"/>
      <c r="D190" s="71"/>
      <c r="E190" s="71"/>
      <c r="F190" s="72"/>
      <c r="G190" s="72"/>
      <c r="H190" s="72"/>
      <c r="I190" s="72"/>
      <c r="J190" s="73"/>
      <c r="K190" s="43"/>
      <c r="L190" s="43"/>
      <c r="M190" s="43"/>
      <c r="N190" s="43"/>
      <c r="O190" s="43"/>
      <c r="P190" s="43"/>
      <c r="Q190" s="43"/>
      <c r="R190" s="43"/>
      <c r="S190" s="43"/>
      <c r="T190" s="43"/>
      <c r="U190" s="43"/>
      <c r="V190" s="43"/>
      <c r="W190" s="43"/>
      <c r="X190" s="43"/>
      <c r="Y190" s="43"/>
      <c r="Z190" s="43"/>
    </row>
    <row r="191" spans="1:26" ht="14.25" customHeight="1" x14ac:dyDescent="0.25">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4.25" customHeight="1" x14ac:dyDescent="0.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4.25" customHeight="1" x14ac:dyDescent="0.25">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4.25" customHeight="1" x14ac:dyDescent="0.25">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4.25" customHeight="1" x14ac:dyDescent="0.2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4.25" customHeight="1" x14ac:dyDescent="0.25">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4.25" customHeight="1" x14ac:dyDescent="0.25">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4.25" customHeight="1" x14ac:dyDescent="0.25">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4.25" customHeight="1" x14ac:dyDescent="0.25">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4.25" customHeight="1" x14ac:dyDescent="0.25">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4.25" customHeight="1" x14ac:dyDescent="0.25">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4.25" customHeight="1" x14ac:dyDescent="0.25">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4.25" customHeight="1" x14ac:dyDescent="0.25">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4.25" customHeight="1" x14ac:dyDescent="0.25">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4.25" customHeight="1" x14ac:dyDescent="0.2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4.25" customHeight="1" x14ac:dyDescent="0.25">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4.25" customHeight="1" x14ac:dyDescent="0.25">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4.25" customHeight="1" x14ac:dyDescent="0.25">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4.25" customHeight="1" x14ac:dyDescent="0.25">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4.25" customHeight="1" x14ac:dyDescent="0.25">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4.25" customHeight="1" x14ac:dyDescent="0.25">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4.25" customHeight="1" x14ac:dyDescent="0.25">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4.25" customHeight="1" x14ac:dyDescent="0.25">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4.25" customHeight="1" x14ac:dyDescent="0.25">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4.25" customHeight="1" x14ac:dyDescent="0.2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4.25" customHeight="1" x14ac:dyDescent="0.25">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4.25" customHeight="1" x14ac:dyDescent="0.25">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4.25" customHeight="1" x14ac:dyDescent="0.25">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4.25" customHeight="1" x14ac:dyDescent="0.25">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4.25" customHeight="1" x14ac:dyDescent="0.25">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4.25" customHeight="1" x14ac:dyDescent="0.25">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4.25" customHeight="1" x14ac:dyDescent="0.25">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4.25" customHeight="1" x14ac:dyDescent="0.25">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4.25" customHeight="1" x14ac:dyDescent="0.25">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4.25" customHeight="1" x14ac:dyDescent="0.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4.25" customHeight="1" x14ac:dyDescent="0.25">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4.25" customHeight="1" x14ac:dyDescent="0.25">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4.25" customHeight="1" x14ac:dyDescent="0.25">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4.25" customHeight="1" x14ac:dyDescent="0.25">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4.25" customHeight="1" x14ac:dyDescent="0.25">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4.25" customHeight="1" x14ac:dyDescent="0.25">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4.25" customHeight="1" x14ac:dyDescent="0.25">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4.25" customHeight="1" x14ac:dyDescent="0.25">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4.25" customHeight="1" x14ac:dyDescent="0.25">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4.25" customHeight="1" x14ac:dyDescent="0.2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4.25" customHeight="1" x14ac:dyDescent="0.25">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4.25" customHeight="1" x14ac:dyDescent="0.25">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4.25" customHeight="1" x14ac:dyDescent="0.25">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4.25" customHeight="1" x14ac:dyDescent="0.25">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4.25" customHeight="1" x14ac:dyDescent="0.25">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4.25" customHeight="1" x14ac:dyDescent="0.25">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4.25" customHeight="1" x14ac:dyDescent="0.25">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4.25" customHeight="1" x14ac:dyDescent="0.25">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4.25" customHeight="1" x14ac:dyDescent="0.25">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4.25" customHeight="1" x14ac:dyDescent="0.2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4.25" customHeight="1" x14ac:dyDescent="0.25">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4.25" customHeight="1" x14ac:dyDescent="0.25">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4.25" customHeight="1" x14ac:dyDescent="0.25">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4.25" customHeight="1" x14ac:dyDescent="0.25">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4.25" customHeight="1" x14ac:dyDescent="0.25">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4.25" customHeight="1" x14ac:dyDescent="0.25">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4.25" customHeight="1" x14ac:dyDescent="0.25">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4.25" customHeight="1" x14ac:dyDescent="0.25">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4.25" customHeight="1" x14ac:dyDescent="0.25">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4.25" customHeight="1" x14ac:dyDescent="0.2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4.25" customHeight="1" x14ac:dyDescent="0.25">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4.25" customHeight="1" x14ac:dyDescent="0.25">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4.25" customHeight="1" x14ac:dyDescent="0.25">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4.25" customHeight="1" x14ac:dyDescent="0.25">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4.25" customHeight="1" x14ac:dyDescent="0.25">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4.25" customHeight="1" x14ac:dyDescent="0.25">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4.25" customHeight="1" x14ac:dyDescent="0.25">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4.25" customHeight="1" x14ac:dyDescent="0.25">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4.25" customHeight="1" x14ac:dyDescent="0.25">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4.25" customHeight="1" x14ac:dyDescent="0.2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4.25" customHeight="1" x14ac:dyDescent="0.25">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4.25" customHeight="1" x14ac:dyDescent="0.25">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4.25" customHeight="1" x14ac:dyDescent="0.25">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4.25" customHeight="1" x14ac:dyDescent="0.25">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4.25" customHeight="1" x14ac:dyDescent="0.25">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4.25" customHeight="1" x14ac:dyDescent="0.25">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4.25" customHeight="1" x14ac:dyDescent="0.25">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4.25" customHeight="1" x14ac:dyDescent="0.25">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4.25" customHeight="1" x14ac:dyDescent="0.25">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4.25" customHeight="1" x14ac:dyDescent="0.2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4.25" customHeight="1" x14ac:dyDescent="0.25">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4.25" customHeight="1" x14ac:dyDescent="0.25">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4.25" customHeight="1" x14ac:dyDescent="0.25">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4.25" customHeight="1" x14ac:dyDescent="0.25">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4.25" customHeight="1" x14ac:dyDescent="0.25">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4.25" customHeight="1" x14ac:dyDescent="0.25">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4.25" customHeight="1" x14ac:dyDescent="0.25">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4.25" customHeight="1" x14ac:dyDescent="0.25">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4.25" customHeight="1" x14ac:dyDescent="0.25">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4.25" customHeight="1" x14ac:dyDescent="0.2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4.25" customHeight="1" x14ac:dyDescent="0.25">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4.25" customHeight="1" x14ac:dyDescent="0.25">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4.25" customHeight="1" x14ac:dyDescent="0.25">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4.25" customHeight="1" x14ac:dyDescent="0.25">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4.25" customHeight="1" x14ac:dyDescent="0.25">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4.25" customHeight="1" x14ac:dyDescent="0.25">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4.25" customHeight="1" x14ac:dyDescent="0.25">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4.25" customHeight="1" x14ac:dyDescent="0.25">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4.25" customHeight="1" x14ac:dyDescent="0.25">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4.25" customHeight="1" x14ac:dyDescent="0.2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4.25" customHeight="1" x14ac:dyDescent="0.25">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4.25" customHeight="1" x14ac:dyDescent="0.25">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4.25" customHeight="1" x14ac:dyDescent="0.25">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4.25" customHeight="1" x14ac:dyDescent="0.25">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4.25" customHeight="1" x14ac:dyDescent="0.25">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4.25" customHeight="1" x14ac:dyDescent="0.25">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4.25" customHeight="1" x14ac:dyDescent="0.25">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4.25" customHeight="1" x14ac:dyDescent="0.25">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4.25" customHeight="1" x14ac:dyDescent="0.25">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4.25" customHeight="1" x14ac:dyDescent="0.2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4.25" customHeight="1" x14ac:dyDescent="0.25">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4.25" customHeight="1" x14ac:dyDescent="0.25">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4.25" customHeight="1" x14ac:dyDescent="0.25">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4.25" customHeight="1" x14ac:dyDescent="0.25">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4.25" customHeight="1" x14ac:dyDescent="0.25">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4.25" customHeight="1" x14ac:dyDescent="0.25">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4.25" customHeight="1" x14ac:dyDescent="0.25">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4.25" customHeight="1" x14ac:dyDescent="0.25">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4.25" customHeight="1" x14ac:dyDescent="0.25">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4.25" customHeight="1" x14ac:dyDescent="0.2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4.25" customHeight="1" x14ac:dyDescent="0.25">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4.25" customHeight="1" x14ac:dyDescent="0.25">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4.25" customHeight="1" x14ac:dyDescent="0.25">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4.25" customHeight="1" x14ac:dyDescent="0.25">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4.25" customHeight="1" x14ac:dyDescent="0.25">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4.25" customHeight="1" x14ac:dyDescent="0.25">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4.25" customHeight="1" x14ac:dyDescent="0.25">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4.25" customHeight="1" x14ac:dyDescent="0.25">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4.25" customHeight="1" x14ac:dyDescent="0.25">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4.25" customHeight="1" x14ac:dyDescent="0.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4.25" customHeight="1" x14ac:dyDescent="0.25">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4.25" customHeight="1" x14ac:dyDescent="0.25">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4.25" customHeight="1" x14ac:dyDescent="0.25">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4.25" customHeight="1" x14ac:dyDescent="0.25">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4.25" customHeight="1" x14ac:dyDescent="0.25">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4.25" customHeight="1" x14ac:dyDescent="0.25">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4.25" customHeight="1" x14ac:dyDescent="0.25">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4.25" customHeight="1" x14ac:dyDescent="0.25">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4.25" customHeight="1" x14ac:dyDescent="0.25">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4.25" customHeight="1" x14ac:dyDescent="0.2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4.25" customHeight="1" x14ac:dyDescent="0.25">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4.25" customHeight="1" x14ac:dyDescent="0.25">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4.25" customHeight="1" x14ac:dyDescent="0.25">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4.25" customHeight="1" x14ac:dyDescent="0.25">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4.25" customHeight="1" x14ac:dyDescent="0.25">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4.25" customHeight="1" x14ac:dyDescent="0.25">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4.25" customHeight="1" x14ac:dyDescent="0.25">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4.25" customHeight="1" x14ac:dyDescent="0.25">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4.25" customHeight="1" x14ac:dyDescent="0.25">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4.25" customHeight="1" x14ac:dyDescent="0.2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4.25" customHeight="1" x14ac:dyDescent="0.25">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4.25" customHeight="1" x14ac:dyDescent="0.25">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4.25" customHeight="1" x14ac:dyDescent="0.25">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4.25" customHeight="1" x14ac:dyDescent="0.25">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4.25" customHeight="1" x14ac:dyDescent="0.25">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4.25" customHeight="1" x14ac:dyDescent="0.25">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4.25" customHeight="1" x14ac:dyDescent="0.25">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4.25" customHeight="1" x14ac:dyDescent="0.25">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4.25" customHeight="1" x14ac:dyDescent="0.25">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4.25" customHeight="1" x14ac:dyDescent="0.2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4.25" customHeight="1" x14ac:dyDescent="0.25">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4.25" customHeight="1" x14ac:dyDescent="0.25">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4.25" customHeight="1" x14ac:dyDescent="0.25">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4.25" customHeight="1" x14ac:dyDescent="0.25">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4.25" customHeight="1" x14ac:dyDescent="0.25">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4.25" customHeight="1" x14ac:dyDescent="0.25">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4.25" customHeight="1" x14ac:dyDescent="0.25">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4.25" customHeight="1" x14ac:dyDescent="0.25">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4.25" customHeight="1" x14ac:dyDescent="0.25">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4.25" customHeight="1" x14ac:dyDescent="0.2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4.25" customHeight="1" x14ac:dyDescent="0.25">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4.25" customHeight="1" x14ac:dyDescent="0.25">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4.25" customHeight="1" x14ac:dyDescent="0.25">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4.25" customHeight="1" x14ac:dyDescent="0.25">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4.25" customHeight="1" x14ac:dyDescent="0.25">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4.25" customHeight="1" x14ac:dyDescent="0.25">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4.25" customHeight="1" x14ac:dyDescent="0.25">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4.25" customHeight="1" x14ac:dyDescent="0.25">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4.25" customHeight="1" x14ac:dyDescent="0.25">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4.25" customHeight="1" x14ac:dyDescent="0.2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4.25" customHeight="1" x14ac:dyDescent="0.25">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4.25" customHeight="1" x14ac:dyDescent="0.25">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4.25" customHeight="1" x14ac:dyDescent="0.25">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4.25" customHeight="1" x14ac:dyDescent="0.25">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4.25" customHeight="1" x14ac:dyDescent="0.25">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4.25" customHeight="1" x14ac:dyDescent="0.25">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4.25" customHeight="1" x14ac:dyDescent="0.25">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4.25" customHeight="1" x14ac:dyDescent="0.25">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4.25" customHeight="1" x14ac:dyDescent="0.25">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4.25" customHeight="1" x14ac:dyDescent="0.2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4.25" customHeight="1" x14ac:dyDescent="0.25">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4.25" customHeight="1" x14ac:dyDescent="0.25">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4.25" customHeight="1" x14ac:dyDescent="0.25">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5.75" customHeight="1" x14ac:dyDescent="0.25"/>
    <row r="390" spans="1:26" ht="15.75" customHeight="1" x14ac:dyDescent="0.25"/>
    <row r="391" spans="1:26" ht="15.75" customHeight="1" x14ac:dyDescent="0.25"/>
    <row r="392" spans="1:26" ht="15.75" customHeight="1" x14ac:dyDescent="0.25"/>
    <row r="393" spans="1:26" ht="15.75" customHeight="1" x14ac:dyDescent="0.25"/>
    <row r="394" spans="1:26" ht="15.75" customHeight="1" x14ac:dyDescent="0.25"/>
    <row r="395" spans="1:26" ht="15.75" customHeight="1" x14ac:dyDescent="0.25"/>
    <row r="396" spans="1:26" ht="15.75" customHeight="1" x14ac:dyDescent="0.25"/>
    <row r="397" spans="1:26" ht="15.75" customHeight="1" x14ac:dyDescent="0.25"/>
    <row r="398" spans="1:26" ht="15.75" customHeight="1" x14ac:dyDescent="0.25"/>
    <row r="399" spans="1:26" ht="15.75" customHeight="1" x14ac:dyDescent="0.25"/>
    <row r="400" spans="1:26"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1">
    <mergeCell ref="G89:I89"/>
    <mergeCell ref="F73:G73"/>
    <mergeCell ref="F74:G74"/>
    <mergeCell ref="G81:I81"/>
    <mergeCell ref="G83:I83"/>
    <mergeCell ref="F85:F88"/>
    <mergeCell ref="G85:J88"/>
    <mergeCell ref="G64:I64"/>
    <mergeCell ref="F66:F69"/>
    <mergeCell ref="G66:J69"/>
    <mergeCell ref="G70:I70"/>
    <mergeCell ref="G71:I71"/>
    <mergeCell ref="G52:I52"/>
    <mergeCell ref="F54:G54"/>
    <mergeCell ref="F55:G55"/>
    <mergeCell ref="F56:G56"/>
    <mergeCell ref="G62:I62"/>
    <mergeCell ref="G43:I43"/>
    <mergeCell ref="G45:I45"/>
    <mergeCell ref="F47:F50"/>
    <mergeCell ref="G47:J50"/>
    <mergeCell ref="G51:I51"/>
    <mergeCell ref="G32:I32"/>
    <mergeCell ref="G33:I33"/>
    <mergeCell ref="F35:G35"/>
    <mergeCell ref="F36:G36"/>
    <mergeCell ref="F37:G37"/>
    <mergeCell ref="B22:K23"/>
    <mergeCell ref="G24:I24"/>
    <mergeCell ref="G26:I26"/>
    <mergeCell ref="F28:F31"/>
    <mergeCell ref="G28:J31"/>
    <mergeCell ref="J15:K16"/>
    <mergeCell ref="I17:K17"/>
    <mergeCell ref="I18:K21"/>
    <mergeCell ref="B2:J2"/>
    <mergeCell ref="B3:K4"/>
    <mergeCell ref="B5:J7"/>
    <mergeCell ref="B9:C9"/>
    <mergeCell ref="D9:I9"/>
    <mergeCell ref="B11:D11"/>
    <mergeCell ref="B15:B16"/>
    <mergeCell ref="C15:G16"/>
    <mergeCell ref="I15:I16"/>
    <mergeCell ref="C17:G21"/>
    <mergeCell ref="G184:I184"/>
    <mergeCell ref="G185:I185"/>
    <mergeCell ref="F187:G187"/>
    <mergeCell ref="F188:G188"/>
    <mergeCell ref="G161:J164"/>
    <mergeCell ref="G165:I165"/>
    <mergeCell ref="G166:I166"/>
    <mergeCell ref="F168:G168"/>
    <mergeCell ref="F169:G169"/>
    <mergeCell ref="G176:I176"/>
    <mergeCell ref="G178:I178"/>
    <mergeCell ref="F161:F164"/>
    <mergeCell ref="F180:F183"/>
    <mergeCell ref="G142:J145"/>
    <mergeCell ref="G146:I146"/>
    <mergeCell ref="G147:I147"/>
    <mergeCell ref="F149:G149"/>
    <mergeCell ref="F150:G150"/>
    <mergeCell ref="G157:I157"/>
    <mergeCell ref="G159:I159"/>
    <mergeCell ref="G180:J183"/>
    <mergeCell ref="F131:G131"/>
    <mergeCell ref="F132:G132"/>
    <mergeCell ref="G138:I138"/>
    <mergeCell ref="G140:I140"/>
    <mergeCell ref="F142:F145"/>
    <mergeCell ref="F123:F126"/>
    <mergeCell ref="G123:J126"/>
    <mergeCell ref="G127:I127"/>
    <mergeCell ref="G128:I128"/>
    <mergeCell ref="F130:G130"/>
    <mergeCell ref="F111:G111"/>
    <mergeCell ref="F112:G112"/>
    <mergeCell ref="F113:G113"/>
    <mergeCell ref="G119:I119"/>
    <mergeCell ref="G121:I121"/>
    <mergeCell ref="G104:J107"/>
    <mergeCell ref="G108:I108"/>
    <mergeCell ref="G109:I109"/>
    <mergeCell ref="G90:I90"/>
    <mergeCell ref="F92:G92"/>
    <mergeCell ref="F93:G93"/>
    <mergeCell ref="F94:G94"/>
    <mergeCell ref="G100:I100"/>
    <mergeCell ref="G102:I102"/>
    <mergeCell ref="F104:F107"/>
  </mergeCells>
  <printOptions horizontalCentered="1" verticalCentered="1"/>
  <pageMargins left="0.70866141732283472" right="0.70866141732283472" top="0.98425196850393704" bottom="0.74803149606299213" header="0" footer="0"/>
  <pageSetup paperSize="8" orientation="landscape"/>
  <headerFooter>
    <oddHeader>&amp;C The Experience Travel</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0"/>
  <sheetViews>
    <sheetView workbookViewId="0"/>
  </sheetViews>
  <sheetFormatPr baseColWidth="10" defaultColWidth="14.42578125" defaultRowHeight="15" customHeight="1" x14ac:dyDescent="0.25"/>
  <cols>
    <col min="1" max="1" width="17.42578125" customWidth="1"/>
    <col min="2" max="2" width="15.5703125" customWidth="1"/>
    <col min="3" max="3" width="10.7109375" customWidth="1"/>
    <col min="4" max="4" width="14.28515625" customWidth="1"/>
    <col min="5" max="6" width="10.7109375" customWidth="1"/>
    <col min="7" max="7" width="12.85546875" customWidth="1"/>
    <col min="8" max="12" width="10.7109375" customWidth="1"/>
  </cols>
  <sheetData>
    <row r="1" spans="1:12" ht="15" customHeight="1" x14ac:dyDescent="0.3">
      <c r="B1" s="320"/>
      <c r="C1" s="221"/>
      <c r="D1" s="221"/>
      <c r="E1" s="221"/>
      <c r="F1" s="221"/>
      <c r="G1" s="221"/>
      <c r="H1" s="221"/>
    </row>
    <row r="3" spans="1:12" x14ac:dyDescent="0.25">
      <c r="A3" s="7"/>
      <c r="B3" s="7" t="s">
        <v>42</v>
      </c>
      <c r="C3" s="7" t="s">
        <v>43</v>
      </c>
      <c r="D3" s="7" t="s">
        <v>44</v>
      </c>
      <c r="E3" s="7" t="s">
        <v>45</v>
      </c>
      <c r="F3" s="7"/>
      <c r="G3" s="7"/>
      <c r="H3" s="7"/>
      <c r="I3" s="7"/>
      <c r="J3" s="7"/>
      <c r="K3" s="7"/>
      <c r="L3" s="7"/>
    </row>
    <row r="4" spans="1:12" x14ac:dyDescent="0.25">
      <c r="B4" s="25">
        <f>VLOOKUP('CONF '!B5,'TARIFAS '!$A$3:$N$239,4,FALSE)</f>
        <v>100000</v>
      </c>
      <c r="C4" s="42">
        <f>+B4*'CONF '!$D$2</f>
        <v>200000</v>
      </c>
      <c r="D4" s="25">
        <f>VLOOKUP('CONF '!B5,'TARIFAS '!$A$3:$N$239,5,FALSE)</f>
        <v>80000</v>
      </c>
      <c r="E4" s="42">
        <f>+D4*'CONF '!$D$2</f>
        <v>160000</v>
      </c>
      <c r="G4" s="79">
        <f>+B4+D4-'CONF '!C5</f>
        <v>0</v>
      </c>
    </row>
    <row r="5" spans="1:12" x14ac:dyDescent="0.25">
      <c r="B5" s="25">
        <f>VLOOKUP('CONF '!B6,'TARIFAS '!$A$3:$N$239,4,FALSE)</f>
        <v>350000</v>
      </c>
      <c r="C5" s="42">
        <f>+B5*'CONF '!$D$2</f>
        <v>700000</v>
      </c>
      <c r="D5" s="25">
        <f>VLOOKUP('CONF '!B6,'TARIFAS '!$A$3:$N$239,5,FALSE)</f>
        <v>0</v>
      </c>
      <c r="E5" s="42">
        <f>+D5*'CONF '!$D$2</f>
        <v>0</v>
      </c>
      <c r="G5" s="79">
        <f>+B5+D5-'CONF '!C6</f>
        <v>0</v>
      </c>
    </row>
    <row r="6" spans="1:12" x14ac:dyDescent="0.25">
      <c r="B6" s="25">
        <f>VLOOKUP('CONF '!B7,'TARIFAS '!$A$3:$N$239,4,FALSE)</f>
        <v>110000</v>
      </c>
      <c r="C6" s="42">
        <f>+B6*'CONF '!$D$2</f>
        <v>220000</v>
      </c>
      <c r="D6" s="25">
        <f>VLOOKUP('CONF '!B7,'TARIFAS '!$A$3:$N$239,5,FALSE)</f>
        <v>280000</v>
      </c>
      <c r="E6" s="42">
        <f>+D6*'CONF '!$D$2</f>
        <v>560000</v>
      </c>
      <c r="G6" s="79">
        <f>+B6+D6-'CONF '!C7</f>
        <v>0</v>
      </c>
    </row>
    <row r="7" spans="1:12" x14ac:dyDescent="0.25">
      <c r="B7" s="25">
        <f>VLOOKUP('CONF '!B8,'TARIFAS '!$A$3:$N$239,4,FALSE)</f>
        <v>0</v>
      </c>
      <c r="C7" s="42">
        <f>+B7*'CONF '!$D$2</f>
        <v>0</v>
      </c>
      <c r="D7" s="25">
        <f>VLOOKUP('CONF '!B8,'TARIFAS '!$A$3:$N$239,5,FALSE)</f>
        <v>500000</v>
      </c>
      <c r="E7" s="42">
        <f>+D7*'CONF '!$D$2</f>
        <v>1000000</v>
      </c>
      <c r="G7" s="79">
        <f>+B7+D7-'CONF '!C8</f>
        <v>0</v>
      </c>
    </row>
    <row r="8" spans="1:12" x14ac:dyDescent="0.25">
      <c r="B8" s="25">
        <f>VLOOKUP('CONF '!B9,'TARIFAS '!$A$3:$N$239,4,FALSE)</f>
        <v>180000</v>
      </c>
      <c r="C8" s="42">
        <f>+B8*'CONF '!$D$2</f>
        <v>360000</v>
      </c>
      <c r="D8" s="25">
        <f>VLOOKUP('CONF '!B9,'TARIFAS '!$A$3:$N$239,5,FALSE)</f>
        <v>350000</v>
      </c>
      <c r="E8" s="42">
        <f>+D8*'CONF '!$D$2</f>
        <v>700000</v>
      </c>
      <c r="G8" s="79">
        <f>+B8+D8-'CONF '!C9</f>
        <v>0</v>
      </c>
    </row>
    <row r="9" spans="1:12" x14ac:dyDescent="0.25">
      <c r="B9" s="25">
        <f>VLOOKUP('CONF '!B10,'TARIFAS '!$A$3:$N$239,4,FALSE)</f>
        <v>100000</v>
      </c>
      <c r="C9" s="42">
        <f>+B9*'CONF '!$D$2</f>
        <v>200000</v>
      </c>
      <c r="D9" s="25">
        <f>VLOOKUP('CONF '!B10,'TARIFAS '!$A$3:$N$239,5,FALSE)</f>
        <v>350000</v>
      </c>
      <c r="E9" s="42">
        <f>+D9*'CONF '!$D$2</f>
        <v>700000</v>
      </c>
      <c r="G9" s="79">
        <f>+B9+D9-'CONF '!C10</f>
        <v>0</v>
      </c>
    </row>
    <row r="10" spans="1:12" x14ac:dyDescent="0.25">
      <c r="B10" s="25">
        <f>VLOOKUP('CONF '!B11,'TARIFAS '!$A$3:$N$239,4,FALSE)</f>
        <v>70000</v>
      </c>
      <c r="C10" s="42">
        <f>+B10*'CONF '!$D$2</f>
        <v>140000</v>
      </c>
      <c r="D10" s="25">
        <f>VLOOKUP('CONF '!B11,'TARIFAS '!$A$3:$N$239,5,FALSE)</f>
        <v>370000</v>
      </c>
      <c r="E10" s="42">
        <f>+D10*'CONF '!$D$2</f>
        <v>740000</v>
      </c>
      <c r="G10" s="79">
        <f>+B10+D10-'CONF '!C11</f>
        <v>0</v>
      </c>
    </row>
    <row r="11" spans="1:12" x14ac:dyDescent="0.25">
      <c r="B11" s="25">
        <f>VLOOKUP('CONF '!B12,'TARIFAS '!$A$3:$N$239,4,FALSE)</f>
        <v>120000</v>
      </c>
      <c r="C11" s="42">
        <f>+B11*'CONF '!$D$2</f>
        <v>240000</v>
      </c>
      <c r="D11" s="25">
        <f>VLOOKUP('CONF '!B12,'TARIFAS '!$A$3:$N$239,5,FALSE)</f>
        <v>370000</v>
      </c>
      <c r="E11" s="42">
        <f>+D11*'CONF '!$D$2</f>
        <v>740000</v>
      </c>
      <c r="G11" s="79">
        <f>+B11+D11-'CONF '!C12</f>
        <v>0</v>
      </c>
    </row>
    <row r="12" spans="1:12" x14ac:dyDescent="0.25">
      <c r="B12" s="25">
        <f>VLOOKUP('CONF '!B13,'TARIFAS '!$A$3:$N$239,4,FALSE)</f>
        <v>1350000</v>
      </c>
      <c r="C12" s="42">
        <f>+B12*'CONF '!$D$2</f>
        <v>2700000</v>
      </c>
      <c r="D12" s="25">
        <f>VLOOKUP('CONF '!B13,'TARIFAS '!$A$3:$N$239,5,FALSE)</f>
        <v>1350000</v>
      </c>
      <c r="E12" s="42">
        <f>+D12*'CONF '!$D$2</f>
        <v>2700000</v>
      </c>
      <c r="G12" s="79">
        <f>+B12+D12-'CONF '!C13</f>
        <v>-1000000</v>
      </c>
    </row>
    <row r="13" spans="1:12" x14ac:dyDescent="0.25">
      <c r="B13" s="25">
        <f>VLOOKUP('CONF '!B14,'TARIFAS '!$A$3:$N$239,4,FALSE)</f>
        <v>520000</v>
      </c>
      <c r="C13" s="42">
        <f>+B13*'CONF '!$D$2</f>
        <v>1040000</v>
      </c>
      <c r="D13" s="25">
        <f>VLOOKUP('CONF '!B14,'TARIFAS '!$A$3:$N$239,5,FALSE)</f>
        <v>1180000</v>
      </c>
      <c r="E13" s="42">
        <f>+D13*'CONF '!$D$2</f>
        <v>2360000</v>
      </c>
      <c r="G13" s="79">
        <f>+B13+D13-'CONF '!C14</f>
        <v>0</v>
      </c>
    </row>
    <row r="14" spans="1:12" x14ac:dyDescent="0.25">
      <c r="B14" s="25">
        <f>VLOOKUP('CONF '!B15,'TARIFAS '!$A$3:$N$239,4,FALSE)</f>
        <v>100000</v>
      </c>
      <c r="C14" s="42">
        <f>+B14*'CONF '!$D$2</f>
        <v>200000</v>
      </c>
      <c r="D14" s="25">
        <f>VLOOKUP('CONF '!B15,'TARIFAS '!$A$3:$N$239,5,FALSE)</f>
        <v>80000</v>
      </c>
      <c r="E14" s="42">
        <f>+D14*'CONF '!$D$2</f>
        <v>160000</v>
      </c>
      <c r="G14" s="79">
        <f>+B14+D14-'CONF '!C15</f>
        <v>0</v>
      </c>
    </row>
    <row r="15" spans="1:12" x14ac:dyDescent="0.25">
      <c r="B15" s="25">
        <f>VLOOKUP('CONF '!B16,'TARIFAS '!$A$3:$N$239,4,FALSE)</f>
        <v>520000</v>
      </c>
      <c r="C15" s="42">
        <f>+B15*'CONF '!$D$2</f>
        <v>1040000</v>
      </c>
      <c r="D15" s="25">
        <f>VLOOKUP('CONF '!B16,'TARIFAS '!$A$3:$N$239,5,FALSE)</f>
        <v>1180000</v>
      </c>
      <c r="E15" s="42">
        <f>+D15*'CONF '!$D$2</f>
        <v>2360000</v>
      </c>
      <c r="G15" s="79">
        <f>+B15+D15-'CONF '!C16</f>
        <v>0</v>
      </c>
    </row>
    <row r="16" spans="1:12" x14ac:dyDescent="0.25">
      <c r="B16" s="25">
        <f>VLOOKUP('CONF '!B17,'TARIFAS '!$A$3:$N$239,4,FALSE)</f>
        <v>1350000</v>
      </c>
      <c r="C16" s="42">
        <f>+B16*'CONF '!$D$2</f>
        <v>2700000</v>
      </c>
      <c r="D16" s="25">
        <f>VLOOKUP('CONF '!B17,'TARIFAS '!$A$3:$N$239,5,FALSE)</f>
        <v>1350000</v>
      </c>
      <c r="E16" s="42">
        <f>+D16*'CONF '!$D$2</f>
        <v>2700000</v>
      </c>
      <c r="G16" s="79">
        <f>+B16+D16-'CONF '!C17</f>
        <v>-1000000</v>
      </c>
    </row>
    <row r="17" spans="1:9" x14ac:dyDescent="0.25">
      <c r="B17" s="25">
        <f>VLOOKUP('CONF '!B18,'TARIFAS '!$A$3:$N$239,4,FALSE)</f>
        <v>520000</v>
      </c>
      <c r="C17" s="42">
        <f>+B17*'CONF '!$D$2</f>
        <v>1040000</v>
      </c>
      <c r="D17" s="25">
        <f>VLOOKUP('CONF '!B18,'TARIFAS '!$A$3:$N$239,5,FALSE)</f>
        <v>1180000</v>
      </c>
      <c r="E17" s="42">
        <f>+D17*'CONF '!$D$2</f>
        <v>2360000</v>
      </c>
      <c r="G17" s="79">
        <f>+B17+D17-'CONF '!C18</f>
        <v>0</v>
      </c>
    </row>
    <row r="18" spans="1:9" x14ac:dyDescent="0.25">
      <c r="B18" s="25">
        <f>VLOOKUP('CONF '!B19,'TARIFAS '!$A$3:$N$239,4,FALSE)</f>
        <v>1350000</v>
      </c>
      <c r="C18" s="42">
        <f>+B18*'CONF '!$D$2</f>
        <v>2700000</v>
      </c>
      <c r="D18" s="25">
        <f>VLOOKUP('CONF '!B19,'TARIFAS '!$A$3:$N$239,5,FALSE)</f>
        <v>1350000</v>
      </c>
      <c r="E18" s="42">
        <f>+D18*'CONF '!$D$2</f>
        <v>2700000</v>
      </c>
      <c r="G18" s="79">
        <f>+B18+D18-'CONF '!C19</f>
        <v>-1000000</v>
      </c>
    </row>
    <row r="19" spans="1:9" x14ac:dyDescent="0.25">
      <c r="B19" s="25">
        <f>VLOOKUP('CONF '!B20,'TARIFAS '!$A$3:$N$239,4,FALSE)</f>
        <v>100000</v>
      </c>
      <c r="C19" s="42">
        <f>+B19*'CONF '!$D$2</f>
        <v>200000</v>
      </c>
      <c r="D19" s="25">
        <f>VLOOKUP('CONF '!B20,'TARIFAS '!$A$3:$N$239,5,FALSE)</f>
        <v>350000</v>
      </c>
      <c r="E19" s="42">
        <f>+D19*'CONF '!$D$2</f>
        <v>700000</v>
      </c>
      <c r="G19" s="79">
        <f>+B19+D19-'CONF '!C20</f>
        <v>0</v>
      </c>
    </row>
    <row r="20" spans="1:9" x14ac:dyDescent="0.25">
      <c r="B20" s="25">
        <f>VLOOKUP('CONF '!B21,'TARIFAS '!$A$3:$N$239,4,FALSE)</f>
        <v>100000</v>
      </c>
      <c r="C20" s="42">
        <f>+B20*'CONF '!$D$2</f>
        <v>200000</v>
      </c>
      <c r="D20" s="25">
        <f>VLOOKUP('CONF '!B21,'TARIFAS '!$A$3:$N$239,5,FALSE)</f>
        <v>350000</v>
      </c>
      <c r="E20" s="42">
        <f>+D20*'CONF '!$D$2</f>
        <v>700000</v>
      </c>
      <c r="G20" s="79">
        <f>+B20+D20-'CONF '!C21</f>
        <v>0</v>
      </c>
    </row>
    <row r="21" spans="1:9" ht="15.75" customHeight="1" x14ac:dyDescent="0.25">
      <c r="B21" s="42">
        <f>52000*7</f>
        <v>364000</v>
      </c>
      <c r="D21" s="42">
        <f>210000+240000+15*27000</f>
        <v>855000</v>
      </c>
      <c r="E21" s="42">
        <f>+D4*7</f>
        <v>560000</v>
      </c>
    </row>
    <row r="22" spans="1:9" ht="15.75" customHeight="1" x14ac:dyDescent="0.25"/>
    <row r="23" spans="1:9" ht="15.75" customHeight="1" x14ac:dyDescent="0.25">
      <c r="A23" s="25"/>
    </row>
    <row r="24" spans="1:9" ht="15.75" customHeight="1" x14ac:dyDescent="0.25">
      <c r="B24" s="42">
        <f>+C24-B21</f>
        <v>-99000</v>
      </c>
      <c r="C24" s="42">
        <f>160000*7-D21</f>
        <v>265000</v>
      </c>
      <c r="D24" s="42">
        <f>+D21/15</f>
        <v>57000</v>
      </c>
    </row>
    <row r="25" spans="1:9" ht="15.75" customHeight="1" x14ac:dyDescent="0.25">
      <c r="A25" s="25">
        <f>+'CONF '!D25+'CONF '!D26</f>
        <v>35220000</v>
      </c>
      <c r="C25" s="42">
        <f>+C24-15000*7</f>
        <v>160000</v>
      </c>
    </row>
    <row r="26" spans="1:9" ht="15.75" customHeight="1" x14ac:dyDescent="0.25"/>
    <row r="27" spans="1:9" ht="15.75" customHeight="1" x14ac:dyDescent="0.25"/>
    <row r="28" spans="1:9" ht="15.75" customHeight="1" x14ac:dyDescent="0.25"/>
    <row r="29" spans="1:9" ht="15.75" customHeight="1" x14ac:dyDescent="0.25">
      <c r="A29" s="321" t="s">
        <v>46</v>
      </c>
      <c r="B29" s="221"/>
      <c r="C29" s="221"/>
      <c r="D29" s="221"/>
      <c r="E29" s="221"/>
      <c r="F29" s="221"/>
      <c r="G29" s="221"/>
      <c r="H29" s="221"/>
      <c r="I29" s="221"/>
    </row>
    <row r="30" spans="1:9" ht="15" customHeight="1" x14ac:dyDescent="0.25">
      <c r="A30" s="221"/>
      <c r="B30" s="221"/>
      <c r="C30" s="221"/>
      <c r="D30" s="221"/>
      <c r="E30" s="221"/>
      <c r="F30" s="221"/>
      <c r="G30" s="221"/>
      <c r="H30" s="221"/>
      <c r="I30" s="221"/>
    </row>
    <row r="31" spans="1:9" ht="15" customHeight="1" x14ac:dyDescent="0.25">
      <c r="A31" s="221"/>
      <c r="B31" s="221"/>
      <c r="C31" s="221"/>
      <c r="D31" s="221"/>
      <c r="E31" s="221"/>
      <c r="F31" s="221"/>
      <c r="G31" s="221"/>
      <c r="H31" s="221"/>
      <c r="I31" s="221"/>
    </row>
    <row r="32" spans="1:9" ht="15" customHeight="1" x14ac:dyDescent="0.25">
      <c r="A32" s="221"/>
      <c r="B32" s="221"/>
      <c r="C32" s="221"/>
      <c r="D32" s="221"/>
      <c r="E32" s="221"/>
      <c r="F32" s="221"/>
      <c r="G32" s="221"/>
      <c r="H32" s="221"/>
      <c r="I32" s="221"/>
    </row>
    <row r="33" spans="1:10" ht="15" customHeight="1" x14ac:dyDescent="0.25">
      <c r="A33" s="221"/>
      <c r="B33" s="221"/>
      <c r="C33" s="221"/>
      <c r="D33" s="221"/>
      <c r="E33" s="221"/>
      <c r="F33" s="221"/>
      <c r="G33" s="221"/>
      <c r="H33" s="221"/>
      <c r="I33" s="221"/>
    </row>
    <row r="34" spans="1:10" ht="15" customHeight="1" x14ac:dyDescent="0.25">
      <c r="A34" s="221"/>
      <c r="B34" s="221"/>
      <c r="C34" s="221"/>
      <c r="D34" s="221"/>
      <c r="E34" s="221"/>
      <c r="F34" s="221"/>
      <c r="G34" s="221"/>
      <c r="H34" s="221"/>
      <c r="I34" s="221"/>
    </row>
    <row r="35" spans="1:10" ht="15.75" customHeight="1" x14ac:dyDescent="0.25"/>
    <row r="36" spans="1:10" ht="15.75" customHeight="1" x14ac:dyDescent="0.25"/>
    <row r="37" spans="1:10" ht="15.75" customHeight="1" x14ac:dyDescent="0.25">
      <c r="A37" s="321" t="str">
        <f ca="1">+CONCATENATE("Entrada: ",TEXT('CONF '!$B$30,"COP #,#")," no cambio ",TEXT('CONF '!$C$31,"dd/mm/yyyy")," = ",TEXT('CONF '!$D$30,"R$ #,#.#0"),
"
Dados para depósito
Banco Inter
Juliana Rotta 3
Pix CNPJ: 14.909.728.0001/45")</f>
        <v>Entrada: COP 13880000, no cambio 14/02/2026 = R$ 2222,455
Dados para depósito
Banco Inter
Juliana Rotta 3
Pix CNPJ: 14.909.728.0001/45</v>
      </c>
      <c r="B37" s="221"/>
      <c r="C37" s="221"/>
      <c r="D37" s="221"/>
      <c r="E37" s="221"/>
      <c r="F37" s="221"/>
      <c r="G37" s="221"/>
      <c r="H37" s="221"/>
      <c r="I37" s="221"/>
    </row>
    <row r="38" spans="1:10" ht="15" customHeight="1" x14ac:dyDescent="0.25">
      <c r="A38" s="221"/>
      <c r="B38" s="221"/>
      <c r="C38" s="221"/>
      <c r="D38" s="221"/>
      <c r="E38" s="221"/>
      <c r="F38" s="221"/>
      <c r="G38" s="221"/>
      <c r="H38" s="221"/>
      <c r="I38" s="221"/>
    </row>
    <row r="39" spans="1:10" ht="15" customHeight="1" x14ac:dyDescent="0.25">
      <c r="A39" s="221"/>
      <c r="B39" s="221"/>
      <c r="C39" s="221"/>
      <c r="D39" s="221"/>
      <c r="E39" s="221"/>
      <c r="F39" s="221"/>
      <c r="G39" s="221"/>
      <c r="H39" s="221"/>
      <c r="I39" s="221"/>
    </row>
    <row r="40" spans="1:10" ht="15" customHeight="1" x14ac:dyDescent="0.25">
      <c r="A40" s="221"/>
      <c r="B40" s="221"/>
      <c r="C40" s="221"/>
      <c r="D40" s="221"/>
      <c r="E40" s="221"/>
      <c r="F40" s="221"/>
      <c r="G40" s="221"/>
      <c r="H40" s="221"/>
      <c r="I40" s="221"/>
    </row>
    <row r="41" spans="1:10" ht="15.75" customHeight="1" x14ac:dyDescent="0.25"/>
    <row r="42" spans="1:10" ht="15.75" customHeight="1" x14ac:dyDescent="0.25"/>
    <row r="43" spans="1:10" ht="15.75" customHeight="1" x14ac:dyDescent="0.25">
      <c r="B43" s="321"/>
      <c r="C43" s="221"/>
      <c r="D43" s="221"/>
      <c r="E43" s="221"/>
      <c r="F43" s="221"/>
      <c r="G43" s="221"/>
      <c r="H43" s="221"/>
      <c r="I43" s="221"/>
      <c r="J43" s="221"/>
    </row>
    <row r="44" spans="1:10" ht="15" customHeight="1" x14ac:dyDescent="0.25">
      <c r="B44" s="221"/>
      <c r="C44" s="221"/>
      <c r="D44" s="221"/>
      <c r="E44" s="221"/>
      <c r="F44" s="221"/>
      <c r="G44" s="221"/>
      <c r="H44" s="221"/>
      <c r="I44" s="221"/>
      <c r="J44" s="221"/>
    </row>
    <row r="45" spans="1:10" ht="15" customHeight="1" x14ac:dyDescent="0.25">
      <c r="B45" s="221"/>
      <c r="C45" s="221"/>
      <c r="D45" s="221"/>
      <c r="E45" s="221"/>
      <c r="F45" s="221"/>
      <c r="G45" s="221"/>
      <c r="H45" s="221"/>
      <c r="I45" s="221"/>
      <c r="J45" s="221"/>
    </row>
    <row r="46" spans="1:10" ht="15" customHeight="1" x14ac:dyDescent="0.25">
      <c r="B46" s="221"/>
      <c r="C46" s="221"/>
      <c r="D46" s="221"/>
      <c r="E46" s="221"/>
      <c r="F46" s="221"/>
      <c r="G46" s="221"/>
      <c r="H46" s="221"/>
      <c r="I46" s="221"/>
      <c r="J46" s="221"/>
    </row>
    <row r="47" spans="1:10" ht="15" customHeight="1" x14ac:dyDescent="0.25">
      <c r="B47" s="221"/>
      <c r="C47" s="221"/>
      <c r="D47" s="221"/>
      <c r="E47" s="221"/>
      <c r="F47" s="221"/>
      <c r="G47" s="221"/>
      <c r="H47" s="221"/>
      <c r="I47" s="221"/>
      <c r="J47" s="221"/>
    </row>
    <row r="48" spans="1:10" ht="15" customHeight="1" x14ac:dyDescent="0.25">
      <c r="B48" s="221"/>
      <c r="C48" s="221"/>
      <c r="D48" s="221"/>
      <c r="E48" s="221"/>
      <c r="F48" s="221"/>
      <c r="G48" s="221"/>
      <c r="H48" s="221"/>
      <c r="I48" s="221"/>
      <c r="J48" s="221"/>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1:H1"/>
    <mergeCell ref="A29:I34"/>
    <mergeCell ref="A37:I40"/>
    <mergeCell ref="B43:J4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4.42578125" defaultRowHeight="15" customHeight="1" x14ac:dyDescent="0.25"/>
  <cols>
    <col min="1" max="1" width="32.28515625" customWidth="1"/>
    <col min="2" max="2" width="13" customWidth="1"/>
    <col min="3" max="3" width="11.28515625" customWidth="1"/>
    <col min="4" max="4" width="12" customWidth="1"/>
    <col min="5" max="5" width="12.140625" customWidth="1"/>
    <col min="6" max="6" width="71.5703125" customWidth="1"/>
    <col min="7" max="7" width="49" customWidth="1"/>
    <col min="8" max="8" width="13.140625" customWidth="1"/>
    <col min="9" max="9" width="21.5703125" customWidth="1"/>
    <col min="10" max="10" width="7" customWidth="1"/>
    <col min="11" max="26" width="21.5703125" customWidth="1"/>
  </cols>
  <sheetData>
    <row r="1" spans="1:26" x14ac:dyDescent="0.25">
      <c r="A1" s="80" t="s">
        <v>47</v>
      </c>
      <c r="B1" s="81" t="s">
        <v>48</v>
      </c>
      <c r="C1" s="80" t="s">
        <v>49</v>
      </c>
      <c r="D1" s="81" t="s">
        <v>50</v>
      </c>
      <c r="E1" s="80" t="s">
        <v>51</v>
      </c>
      <c r="F1" s="81" t="s">
        <v>52</v>
      </c>
      <c r="G1" s="80" t="s">
        <v>53</v>
      </c>
      <c r="H1" s="81" t="s">
        <v>54</v>
      </c>
      <c r="I1" s="80" t="s">
        <v>55</v>
      </c>
      <c r="J1" s="81" t="s">
        <v>56</v>
      </c>
      <c r="K1" s="82"/>
      <c r="L1" s="82"/>
      <c r="M1" s="82"/>
      <c r="N1" s="83"/>
      <c r="O1" s="82"/>
      <c r="P1" s="42"/>
      <c r="Q1" s="42"/>
      <c r="R1" s="42"/>
      <c r="S1" s="42"/>
      <c r="T1" s="42"/>
      <c r="U1" s="42"/>
      <c r="V1" s="42"/>
      <c r="W1" s="42"/>
      <c r="X1" s="42"/>
      <c r="Y1" s="42"/>
      <c r="Z1" s="42"/>
    </row>
    <row r="2" spans="1:26" ht="30" x14ac:dyDescent="0.25">
      <c r="A2" s="42"/>
      <c r="B2" s="84" t="s">
        <v>57</v>
      </c>
      <c r="C2" s="84" t="s">
        <v>58</v>
      </c>
      <c r="D2" s="84" t="s">
        <v>59</v>
      </c>
      <c r="E2" s="84" t="s">
        <v>60</v>
      </c>
      <c r="F2" s="84" t="s">
        <v>61</v>
      </c>
      <c r="G2" s="84" t="s">
        <v>62</v>
      </c>
      <c r="H2" s="84" t="s">
        <v>63</v>
      </c>
      <c r="I2" s="84" t="s">
        <v>64</v>
      </c>
      <c r="J2" s="84" t="s">
        <v>65</v>
      </c>
      <c r="K2" s="82"/>
      <c r="L2" s="82"/>
      <c r="M2" s="82"/>
      <c r="N2" s="85" t="s">
        <v>66</v>
      </c>
      <c r="O2" s="84" t="s">
        <v>67</v>
      </c>
      <c r="P2" s="42"/>
      <c r="Q2" s="42"/>
      <c r="R2" s="42"/>
      <c r="S2" s="42"/>
      <c r="T2" s="42"/>
      <c r="U2" s="42"/>
      <c r="V2" s="42"/>
      <c r="W2" s="42"/>
      <c r="X2" s="42"/>
      <c r="Y2" s="42"/>
      <c r="Z2" s="42"/>
    </row>
    <row r="3" spans="1:26" x14ac:dyDescent="0.25">
      <c r="A3" s="86" t="s">
        <v>68</v>
      </c>
      <c r="B3" s="87">
        <v>0</v>
      </c>
      <c r="C3" s="87">
        <v>0</v>
      </c>
      <c r="D3" s="87">
        <v>0</v>
      </c>
      <c r="E3" s="87">
        <v>0</v>
      </c>
      <c r="F3" s="88" t="s">
        <v>69</v>
      </c>
      <c r="G3" s="89" t="s">
        <v>69</v>
      </c>
      <c r="H3" s="90" t="s">
        <v>69</v>
      </c>
      <c r="I3" s="91"/>
      <c r="J3" s="91"/>
      <c r="K3" s="91"/>
      <c r="L3" s="91"/>
      <c r="M3" s="91"/>
      <c r="N3" s="91"/>
      <c r="O3" s="79"/>
      <c r="P3" s="42"/>
      <c r="Q3" s="42"/>
      <c r="R3" s="42"/>
      <c r="S3" s="42"/>
      <c r="T3" s="42"/>
      <c r="U3" s="42"/>
      <c r="V3" s="42"/>
      <c r="W3" s="42"/>
      <c r="X3" s="42"/>
      <c r="Y3" s="42"/>
      <c r="Z3" s="42"/>
    </row>
    <row r="4" spans="1:26" ht="210" x14ac:dyDescent="0.25">
      <c r="A4" s="92" t="s">
        <v>70</v>
      </c>
      <c r="B4" s="93">
        <v>160000</v>
      </c>
      <c r="C4" s="93">
        <v>70000</v>
      </c>
      <c r="D4" s="93">
        <v>104000</v>
      </c>
      <c r="E4" s="93">
        <v>56000</v>
      </c>
      <c r="F4" s="88" t="s">
        <v>71</v>
      </c>
      <c r="G4" s="89" t="s">
        <v>72</v>
      </c>
      <c r="H4" s="90" t="s">
        <v>69</v>
      </c>
      <c r="I4" s="91"/>
      <c r="J4" s="91"/>
      <c r="K4" s="91"/>
      <c r="L4" s="91"/>
      <c r="M4" s="91"/>
      <c r="N4" s="91"/>
      <c r="O4" s="79"/>
      <c r="P4" s="42"/>
      <c r="Q4" s="42"/>
      <c r="R4" s="42"/>
      <c r="S4" s="42"/>
      <c r="T4" s="42"/>
      <c r="U4" s="42"/>
      <c r="V4" s="42"/>
      <c r="W4" s="42"/>
      <c r="X4" s="42"/>
      <c r="Y4" s="42"/>
      <c r="Z4" s="42"/>
    </row>
    <row r="5" spans="1:26" ht="168.75" x14ac:dyDescent="0.25">
      <c r="A5" s="92" t="s">
        <v>5</v>
      </c>
      <c r="B5" s="93">
        <v>180000</v>
      </c>
      <c r="C5" s="93">
        <v>100000</v>
      </c>
      <c r="D5" s="93">
        <v>100000</v>
      </c>
      <c r="E5" s="93">
        <v>80000</v>
      </c>
      <c r="F5" s="94" t="s">
        <v>73</v>
      </c>
      <c r="G5" s="89" t="s">
        <v>72</v>
      </c>
      <c r="H5" s="90" t="s">
        <v>69</v>
      </c>
      <c r="I5" s="91"/>
      <c r="J5" s="91"/>
      <c r="K5" s="91"/>
      <c r="L5" s="91"/>
      <c r="M5" s="91"/>
      <c r="N5" s="91"/>
      <c r="O5" s="79"/>
      <c r="P5" s="42"/>
      <c r="Q5" s="42"/>
      <c r="R5" s="42"/>
      <c r="S5" s="42"/>
      <c r="T5" s="42"/>
      <c r="U5" s="42"/>
      <c r="V5" s="42"/>
      <c r="W5" s="42"/>
      <c r="X5" s="42"/>
      <c r="Y5" s="42"/>
      <c r="Z5" s="42"/>
    </row>
    <row r="6" spans="1:26" ht="120.75" x14ac:dyDescent="0.25">
      <c r="A6" s="95" t="s">
        <v>74</v>
      </c>
      <c r="B6" s="96">
        <v>120000</v>
      </c>
      <c r="C6" s="96">
        <v>250000</v>
      </c>
      <c r="D6" s="96">
        <f t="shared" ref="D6:D8" si="0">B6-E6</f>
        <v>35000</v>
      </c>
      <c r="E6" s="96">
        <v>85000</v>
      </c>
      <c r="F6" s="97" t="s">
        <v>75</v>
      </c>
      <c r="G6" s="98" t="s">
        <v>76</v>
      </c>
      <c r="H6" s="99" t="s">
        <v>69</v>
      </c>
      <c r="I6" s="100"/>
      <c r="J6" s="101" t="s">
        <v>77</v>
      </c>
      <c r="K6" s="100"/>
      <c r="L6" s="100"/>
      <c r="M6" s="100"/>
      <c r="N6" s="100"/>
      <c r="O6" s="102"/>
      <c r="P6" s="103"/>
      <c r="Q6" s="103"/>
      <c r="R6" s="103"/>
      <c r="S6" s="103"/>
      <c r="T6" s="103"/>
      <c r="U6" s="103"/>
      <c r="V6" s="103"/>
      <c r="W6" s="103"/>
      <c r="X6" s="103"/>
      <c r="Y6" s="103"/>
      <c r="Z6" s="103"/>
    </row>
    <row r="7" spans="1:26" ht="150" x14ac:dyDescent="0.25">
      <c r="A7" s="95" t="s">
        <v>78</v>
      </c>
      <c r="B7" s="96">
        <v>90000</v>
      </c>
      <c r="C7" s="96">
        <v>250000</v>
      </c>
      <c r="D7" s="96">
        <f t="shared" si="0"/>
        <v>47500</v>
      </c>
      <c r="E7" s="96">
        <v>42500</v>
      </c>
      <c r="F7" s="104" t="s">
        <v>79</v>
      </c>
      <c r="G7" s="98" t="s">
        <v>76</v>
      </c>
      <c r="H7" s="99" t="s">
        <v>69</v>
      </c>
      <c r="I7" s="100"/>
      <c r="J7" s="101" t="s">
        <v>77</v>
      </c>
      <c r="K7" s="100"/>
      <c r="L7" s="100"/>
      <c r="M7" s="100"/>
      <c r="N7" s="100"/>
      <c r="O7" s="102"/>
      <c r="P7" s="103"/>
      <c r="Q7" s="103"/>
      <c r="R7" s="103"/>
      <c r="S7" s="103"/>
      <c r="T7" s="103"/>
      <c r="U7" s="103"/>
      <c r="V7" s="103"/>
      <c r="W7" s="103"/>
      <c r="X7" s="103"/>
      <c r="Y7" s="103"/>
      <c r="Z7" s="103"/>
    </row>
    <row r="8" spans="1:26" ht="330" x14ac:dyDescent="0.25">
      <c r="A8" s="92" t="s">
        <v>11</v>
      </c>
      <c r="B8" s="93">
        <v>440000</v>
      </c>
      <c r="C8" s="93">
        <v>370000</v>
      </c>
      <c r="D8" s="93">
        <f t="shared" si="0"/>
        <v>70000</v>
      </c>
      <c r="E8" s="93">
        <v>370000</v>
      </c>
      <c r="F8" s="88" t="s">
        <v>80</v>
      </c>
      <c r="G8" s="89" t="s">
        <v>81</v>
      </c>
      <c r="H8" s="90" t="s">
        <v>82</v>
      </c>
      <c r="I8" s="105" t="s">
        <v>83</v>
      </c>
      <c r="J8" s="105" t="s">
        <v>84</v>
      </c>
      <c r="K8" s="91"/>
      <c r="L8" s="91"/>
      <c r="M8" s="91"/>
      <c r="N8" s="91"/>
      <c r="O8" s="79"/>
      <c r="P8" s="106"/>
      <c r="Q8" s="106"/>
      <c r="R8" s="106"/>
      <c r="S8" s="106"/>
      <c r="T8" s="106"/>
      <c r="U8" s="106"/>
      <c r="V8" s="106"/>
      <c r="W8" s="106"/>
      <c r="X8" s="106"/>
      <c r="Y8" s="106"/>
      <c r="Z8" s="106"/>
    </row>
    <row r="9" spans="1:26" ht="300" x14ac:dyDescent="0.25">
      <c r="A9" s="92" t="s">
        <v>85</v>
      </c>
      <c r="B9" s="93">
        <v>290000</v>
      </c>
      <c r="C9" s="93">
        <v>125000</v>
      </c>
      <c r="D9" s="93">
        <v>105000</v>
      </c>
      <c r="E9" s="93">
        <v>185000</v>
      </c>
      <c r="F9" s="88" t="s">
        <v>86</v>
      </c>
      <c r="G9" s="89" t="s">
        <v>81</v>
      </c>
      <c r="H9" s="90" t="s">
        <v>82</v>
      </c>
      <c r="I9" s="105" t="s">
        <v>83</v>
      </c>
      <c r="J9" s="105" t="s">
        <v>84</v>
      </c>
      <c r="K9" s="91"/>
      <c r="L9" s="91"/>
      <c r="M9" s="91"/>
      <c r="N9" s="91"/>
      <c r="O9" s="79"/>
      <c r="P9" s="106"/>
      <c r="Q9" s="106"/>
      <c r="R9" s="106"/>
      <c r="S9" s="106"/>
      <c r="T9" s="106"/>
      <c r="U9" s="106"/>
      <c r="V9" s="106"/>
      <c r="W9" s="106"/>
      <c r="X9" s="106"/>
      <c r="Y9" s="106"/>
      <c r="Z9" s="106"/>
    </row>
    <row r="10" spans="1:26" ht="345" x14ac:dyDescent="0.25">
      <c r="A10" s="95" t="s">
        <v>7</v>
      </c>
      <c r="B10" s="107">
        <v>390000</v>
      </c>
      <c r="C10" s="107">
        <v>370000</v>
      </c>
      <c r="D10" s="107">
        <f t="shared" ref="D10:D13" si="1">B10-E10</f>
        <v>110000</v>
      </c>
      <c r="E10" s="107">
        <v>280000</v>
      </c>
      <c r="F10" s="104" t="s">
        <v>87</v>
      </c>
      <c r="G10" s="98" t="s">
        <v>88</v>
      </c>
      <c r="H10" s="99" t="s">
        <v>89</v>
      </c>
      <c r="I10" s="108" t="s">
        <v>90</v>
      </c>
      <c r="J10" s="101" t="s">
        <v>91</v>
      </c>
      <c r="K10" s="100"/>
      <c r="L10" s="100"/>
      <c r="M10" s="100"/>
      <c r="N10" s="100"/>
      <c r="O10" s="102"/>
      <c r="P10" s="103"/>
      <c r="Q10" s="103"/>
      <c r="R10" s="103"/>
      <c r="S10" s="103"/>
      <c r="T10" s="103"/>
      <c r="U10" s="103"/>
      <c r="V10" s="103"/>
      <c r="W10" s="103"/>
      <c r="X10" s="103"/>
      <c r="Y10" s="103"/>
      <c r="Z10" s="103"/>
    </row>
    <row r="11" spans="1:26" ht="315" x14ac:dyDescent="0.25">
      <c r="A11" s="95" t="s">
        <v>12</v>
      </c>
      <c r="B11" s="107">
        <v>490000</v>
      </c>
      <c r="C11" s="107">
        <v>470000</v>
      </c>
      <c r="D11" s="107">
        <f t="shared" si="1"/>
        <v>120000</v>
      </c>
      <c r="E11" s="107">
        <v>370000</v>
      </c>
      <c r="F11" s="104" t="s">
        <v>92</v>
      </c>
      <c r="G11" s="98" t="s">
        <v>88</v>
      </c>
      <c r="H11" s="99" t="s">
        <v>89</v>
      </c>
      <c r="I11" s="108" t="s">
        <v>90</v>
      </c>
      <c r="J11" s="101" t="s">
        <v>91</v>
      </c>
      <c r="K11" s="100"/>
      <c r="L11" s="100"/>
      <c r="M11" s="100"/>
      <c r="N11" s="100"/>
      <c r="O11" s="102"/>
      <c r="P11" s="103"/>
      <c r="Q11" s="103"/>
      <c r="R11" s="103"/>
      <c r="S11" s="103"/>
      <c r="T11" s="103"/>
      <c r="U11" s="103"/>
      <c r="V11" s="103"/>
      <c r="W11" s="103"/>
      <c r="X11" s="103"/>
      <c r="Y11" s="103"/>
      <c r="Z11" s="103"/>
    </row>
    <row r="12" spans="1:26" ht="315" x14ac:dyDescent="0.25">
      <c r="A12" s="95" t="s">
        <v>93</v>
      </c>
      <c r="B12" s="96">
        <v>420000</v>
      </c>
      <c r="C12" s="96">
        <v>380000</v>
      </c>
      <c r="D12" s="96">
        <f t="shared" si="1"/>
        <v>130000</v>
      </c>
      <c r="E12" s="96">
        <v>290000</v>
      </c>
      <c r="F12" s="104" t="s">
        <v>94</v>
      </c>
      <c r="G12" s="98" t="s">
        <v>95</v>
      </c>
      <c r="H12" s="99" t="s">
        <v>89</v>
      </c>
      <c r="I12" s="108" t="s">
        <v>90</v>
      </c>
      <c r="J12" s="101" t="s">
        <v>96</v>
      </c>
      <c r="K12" s="100"/>
      <c r="L12" s="100"/>
      <c r="M12" s="100"/>
      <c r="N12" s="100"/>
      <c r="O12" s="102"/>
      <c r="P12" s="103"/>
      <c r="Q12" s="103"/>
      <c r="R12" s="103"/>
      <c r="S12" s="103"/>
      <c r="T12" s="103"/>
      <c r="U12" s="103"/>
      <c r="V12" s="103"/>
      <c r="W12" s="103"/>
      <c r="X12" s="103"/>
      <c r="Y12" s="103"/>
      <c r="Z12" s="103"/>
    </row>
    <row r="13" spans="1:26" ht="315" x14ac:dyDescent="0.25">
      <c r="A13" s="95" t="s">
        <v>97</v>
      </c>
      <c r="B13" s="96">
        <v>580000</v>
      </c>
      <c r="C13" s="96">
        <v>530000</v>
      </c>
      <c r="D13" s="96">
        <f t="shared" si="1"/>
        <v>150000</v>
      </c>
      <c r="E13" s="96">
        <v>430000</v>
      </c>
      <c r="F13" s="104" t="s">
        <v>98</v>
      </c>
      <c r="G13" s="98" t="s">
        <v>99</v>
      </c>
      <c r="H13" s="99" t="s">
        <v>89</v>
      </c>
      <c r="I13" s="108" t="s">
        <v>90</v>
      </c>
      <c r="J13" s="101" t="s">
        <v>96</v>
      </c>
      <c r="K13" s="100"/>
      <c r="L13" s="100"/>
      <c r="M13" s="100"/>
      <c r="N13" s="100"/>
      <c r="O13" s="102"/>
      <c r="P13" s="103"/>
      <c r="Q13" s="103"/>
      <c r="R13" s="103"/>
      <c r="S13" s="103"/>
      <c r="T13" s="103"/>
      <c r="U13" s="103"/>
      <c r="V13" s="103"/>
      <c r="W13" s="103"/>
      <c r="X13" s="103"/>
      <c r="Y13" s="103"/>
      <c r="Z13" s="103"/>
    </row>
    <row r="14" spans="1:26" ht="240" x14ac:dyDescent="0.25">
      <c r="A14" s="92" t="s">
        <v>100</v>
      </c>
      <c r="B14" s="93">
        <v>250000</v>
      </c>
      <c r="C14" s="93">
        <v>185000</v>
      </c>
      <c r="D14" s="93">
        <v>20000</v>
      </c>
      <c r="E14" s="93">
        <v>230000</v>
      </c>
      <c r="F14" s="88" t="s">
        <v>101</v>
      </c>
      <c r="G14" s="89" t="s">
        <v>69</v>
      </c>
      <c r="H14" s="90" t="s">
        <v>69</v>
      </c>
      <c r="I14" s="91"/>
      <c r="J14" s="91"/>
      <c r="K14" s="91"/>
      <c r="L14" s="91"/>
      <c r="M14" s="91"/>
      <c r="N14" s="91"/>
      <c r="O14" s="79"/>
      <c r="P14" s="109"/>
      <c r="Q14" s="109"/>
      <c r="R14" s="109"/>
      <c r="S14" s="109"/>
      <c r="T14" s="109"/>
      <c r="U14" s="109"/>
      <c r="V14" s="109"/>
      <c r="W14" s="109"/>
      <c r="X14" s="109"/>
      <c r="Y14" s="109"/>
      <c r="Z14" s="109"/>
    </row>
    <row r="15" spans="1:26" ht="29.25" x14ac:dyDescent="0.25">
      <c r="A15" s="92" t="s">
        <v>102</v>
      </c>
      <c r="B15" s="93">
        <v>250000</v>
      </c>
      <c r="C15" s="93">
        <v>185000</v>
      </c>
      <c r="D15" s="93">
        <v>65000</v>
      </c>
      <c r="E15" s="93">
        <v>185000</v>
      </c>
      <c r="F15" s="88" t="s">
        <v>69</v>
      </c>
      <c r="G15" s="89" t="s">
        <v>69</v>
      </c>
      <c r="H15" s="90" t="s">
        <v>69</v>
      </c>
      <c r="I15" s="91"/>
      <c r="J15" s="91"/>
      <c r="K15" s="91"/>
      <c r="L15" s="91"/>
      <c r="M15" s="91"/>
      <c r="N15" s="91"/>
      <c r="O15" s="79"/>
      <c r="P15" s="109"/>
      <c r="Q15" s="109"/>
      <c r="R15" s="109"/>
      <c r="S15" s="109"/>
      <c r="T15" s="109"/>
      <c r="U15" s="109"/>
      <c r="V15" s="109"/>
      <c r="W15" s="109"/>
      <c r="X15" s="109"/>
      <c r="Y15" s="109"/>
      <c r="Z15" s="109"/>
    </row>
    <row r="16" spans="1:26" ht="135" x14ac:dyDescent="0.25">
      <c r="A16" s="92" t="s">
        <v>102</v>
      </c>
      <c r="B16" s="93">
        <v>300000</v>
      </c>
      <c r="C16" s="93">
        <v>185000</v>
      </c>
      <c r="D16" s="93">
        <v>70000</v>
      </c>
      <c r="E16" s="93">
        <v>230000</v>
      </c>
      <c r="F16" s="88" t="s">
        <v>103</v>
      </c>
      <c r="G16" s="89" t="s">
        <v>69</v>
      </c>
      <c r="H16" s="90" t="s">
        <v>69</v>
      </c>
      <c r="I16" s="91"/>
      <c r="J16" s="91"/>
      <c r="K16" s="91"/>
      <c r="L16" s="91"/>
      <c r="M16" s="91"/>
      <c r="N16" s="91"/>
      <c r="O16" s="79"/>
      <c r="P16" s="109"/>
      <c r="Q16" s="109"/>
      <c r="R16" s="109"/>
      <c r="S16" s="109"/>
      <c r="T16" s="109"/>
      <c r="U16" s="109"/>
      <c r="V16" s="109"/>
      <c r="W16" s="109"/>
      <c r="X16" s="109"/>
      <c r="Y16" s="109"/>
      <c r="Z16" s="109"/>
    </row>
    <row r="17" spans="1:26" ht="345" x14ac:dyDescent="0.25">
      <c r="A17" s="92" t="s">
        <v>104</v>
      </c>
      <c r="B17" s="93">
        <v>550000</v>
      </c>
      <c r="C17" s="93">
        <v>400000</v>
      </c>
      <c r="D17" s="93">
        <v>190000</v>
      </c>
      <c r="E17" s="93">
        <v>360000</v>
      </c>
      <c r="F17" s="88" t="s">
        <v>105</v>
      </c>
      <c r="G17" s="88" t="s">
        <v>106</v>
      </c>
      <c r="H17" s="90" t="s">
        <v>69</v>
      </c>
      <c r="I17" s="91"/>
      <c r="J17" s="91"/>
      <c r="K17" s="91"/>
      <c r="L17" s="91"/>
      <c r="M17" s="91"/>
      <c r="N17" s="91"/>
      <c r="O17" s="79"/>
      <c r="P17" s="110"/>
      <c r="Q17" s="110"/>
      <c r="R17" s="110"/>
      <c r="S17" s="110"/>
      <c r="T17" s="110"/>
      <c r="U17" s="110"/>
      <c r="V17" s="110"/>
      <c r="W17" s="110"/>
      <c r="X17" s="110"/>
      <c r="Y17" s="110"/>
      <c r="Z17" s="110"/>
    </row>
    <row r="18" spans="1:26" ht="210" x14ac:dyDescent="0.25">
      <c r="A18" s="92" t="s">
        <v>107</v>
      </c>
      <c r="B18" s="93">
        <v>300000</v>
      </c>
      <c r="C18" s="93">
        <v>250000</v>
      </c>
      <c r="D18" s="93">
        <v>50000</v>
      </c>
      <c r="E18" s="93">
        <v>250000</v>
      </c>
      <c r="F18" s="88" t="s">
        <v>108</v>
      </c>
      <c r="G18" s="89" t="s">
        <v>76</v>
      </c>
      <c r="H18" s="90" t="s">
        <v>69</v>
      </c>
      <c r="I18" s="91"/>
      <c r="J18" s="111" t="s">
        <v>109</v>
      </c>
      <c r="K18" s="91"/>
      <c r="L18" s="91"/>
      <c r="M18" s="91"/>
      <c r="N18" s="91"/>
      <c r="O18" s="79"/>
      <c r="P18" s="110"/>
      <c r="Q18" s="110"/>
      <c r="R18" s="110"/>
      <c r="S18" s="110"/>
      <c r="T18" s="110"/>
      <c r="U18" s="110"/>
      <c r="V18" s="110"/>
      <c r="W18" s="110"/>
      <c r="X18" s="110"/>
      <c r="Y18" s="110"/>
      <c r="Z18" s="110"/>
    </row>
    <row r="19" spans="1:26" ht="210" x14ac:dyDescent="0.25">
      <c r="A19" s="92" t="s">
        <v>110</v>
      </c>
      <c r="B19" s="93">
        <v>240000</v>
      </c>
      <c r="C19" s="93">
        <v>250000</v>
      </c>
      <c r="D19" s="93">
        <v>115000</v>
      </c>
      <c r="E19" s="93">
        <v>125000</v>
      </c>
      <c r="F19" s="88" t="s">
        <v>111</v>
      </c>
      <c r="G19" s="89" t="s">
        <v>76</v>
      </c>
      <c r="H19" s="90" t="s">
        <v>69</v>
      </c>
      <c r="I19" s="91"/>
      <c r="J19" s="111" t="s">
        <v>109</v>
      </c>
      <c r="K19" s="91"/>
      <c r="L19" s="91"/>
      <c r="M19" s="91"/>
      <c r="N19" s="91"/>
      <c r="O19" s="79"/>
      <c r="P19" s="110"/>
      <c r="Q19" s="110"/>
      <c r="R19" s="110"/>
      <c r="S19" s="110"/>
      <c r="T19" s="110"/>
      <c r="U19" s="110"/>
      <c r="V19" s="110"/>
      <c r="W19" s="110"/>
      <c r="X19" s="110"/>
      <c r="Y19" s="110"/>
      <c r="Z19" s="110"/>
    </row>
    <row r="20" spans="1:26" ht="255" x14ac:dyDescent="0.25">
      <c r="A20" s="92" t="s">
        <v>112</v>
      </c>
      <c r="B20" s="93">
        <v>290000</v>
      </c>
      <c r="C20" s="93">
        <v>245000</v>
      </c>
      <c r="D20" s="93">
        <v>95000</v>
      </c>
      <c r="E20" s="93">
        <v>195000</v>
      </c>
      <c r="F20" s="88" t="s">
        <v>113</v>
      </c>
      <c r="G20" s="89" t="s">
        <v>114</v>
      </c>
      <c r="H20" s="90" t="s">
        <v>115</v>
      </c>
      <c r="I20" s="105" t="s">
        <v>116</v>
      </c>
      <c r="J20" s="105" t="s">
        <v>117</v>
      </c>
      <c r="K20" s="91"/>
      <c r="L20" s="91"/>
      <c r="M20" s="91"/>
      <c r="N20" s="91"/>
      <c r="O20" s="79"/>
      <c r="P20" s="42"/>
      <c r="Q20" s="42"/>
      <c r="R20" s="42"/>
      <c r="S20" s="42"/>
      <c r="T20" s="42"/>
      <c r="U20" s="42"/>
      <c r="V20" s="42"/>
      <c r="W20" s="42"/>
      <c r="X20" s="42"/>
      <c r="Y20" s="42"/>
      <c r="Z20" s="42"/>
    </row>
    <row r="21" spans="1:26" ht="15.75" customHeight="1" x14ac:dyDescent="0.25">
      <c r="A21" s="92" t="s">
        <v>118</v>
      </c>
      <c r="B21" s="93">
        <v>300000</v>
      </c>
      <c r="C21" s="93">
        <v>245000</v>
      </c>
      <c r="D21" s="93">
        <v>150000</v>
      </c>
      <c r="E21" s="93">
        <v>150000</v>
      </c>
      <c r="F21" s="88" t="s">
        <v>119</v>
      </c>
      <c r="G21" s="89" t="s">
        <v>114</v>
      </c>
      <c r="H21" s="90" t="s">
        <v>115</v>
      </c>
      <c r="I21" s="105" t="s">
        <v>116</v>
      </c>
      <c r="J21" s="105" t="s">
        <v>117</v>
      </c>
      <c r="K21" s="91"/>
      <c r="L21" s="91"/>
      <c r="M21" s="91"/>
      <c r="N21" s="91"/>
      <c r="O21" s="79"/>
      <c r="P21" s="42"/>
      <c r="Q21" s="42"/>
      <c r="R21" s="42"/>
      <c r="S21" s="42"/>
      <c r="T21" s="42"/>
      <c r="U21" s="42"/>
      <c r="V21" s="42"/>
      <c r="W21" s="42"/>
      <c r="X21" s="42"/>
      <c r="Y21" s="42"/>
      <c r="Z21" s="42"/>
    </row>
    <row r="22" spans="1:26" ht="15.75" customHeight="1" x14ac:dyDescent="0.25">
      <c r="A22" s="92" t="s">
        <v>120</v>
      </c>
      <c r="B22" s="93">
        <v>320000</v>
      </c>
      <c r="C22" s="93">
        <v>100000</v>
      </c>
      <c r="D22" s="93">
        <v>170000</v>
      </c>
      <c r="E22" s="93">
        <v>150000</v>
      </c>
      <c r="F22" s="88" t="s">
        <v>121</v>
      </c>
      <c r="G22" s="89" t="s">
        <v>69</v>
      </c>
      <c r="H22" s="90" t="s">
        <v>69</v>
      </c>
      <c r="I22" s="91"/>
      <c r="J22" s="91"/>
      <c r="K22" s="91"/>
      <c r="L22" s="91"/>
      <c r="M22" s="91"/>
      <c r="N22" s="91"/>
      <c r="O22" s="79"/>
      <c r="P22" s="110"/>
      <c r="Q22" s="110"/>
      <c r="R22" s="110"/>
      <c r="S22" s="110"/>
      <c r="T22" s="110"/>
      <c r="U22" s="110"/>
      <c r="V22" s="110"/>
      <c r="W22" s="110"/>
      <c r="X22" s="110"/>
      <c r="Y22" s="110"/>
      <c r="Z22" s="110"/>
    </row>
    <row r="23" spans="1:26" ht="15.75" customHeight="1" x14ac:dyDescent="0.25">
      <c r="A23" s="92" t="s">
        <v>122</v>
      </c>
      <c r="B23" s="93">
        <v>320000</v>
      </c>
      <c r="C23" s="93">
        <v>100000</v>
      </c>
      <c r="D23" s="93">
        <v>170000</v>
      </c>
      <c r="E23" s="93">
        <v>150000</v>
      </c>
      <c r="F23" s="88" t="s">
        <v>121</v>
      </c>
      <c r="G23" s="89" t="s">
        <v>69</v>
      </c>
      <c r="H23" s="90" t="s">
        <v>69</v>
      </c>
      <c r="I23" s="91"/>
      <c r="J23" s="91"/>
      <c r="K23" s="91"/>
      <c r="L23" s="91"/>
      <c r="M23" s="91"/>
      <c r="N23" s="91"/>
      <c r="O23" s="79"/>
      <c r="P23" s="106"/>
      <c r="Q23" s="106"/>
      <c r="R23" s="106"/>
      <c r="S23" s="106"/>
      <c r="T23" s="106"/>
      <c r="U23" s="106"/>
      <c r="V23" s="106"/>
      <c r="W23" s="106"/>
      <c r="X23" s="106"/>
      <c r="Y23" s="106"/>
      <c r="Z23" s="106"/>
    </row>
    <row r="24" spans="1:26" ht="15.75" customHeight="1" x14ac:dyDescent="0.25">
      <c r="A24" s="92" t="s">
        <v>123</v>
      </c>
      <c r="B24" s="93">
        <v>450000</v>
      </c>
      <c r="C24" s="93">
        <v>100000</v>
      </c>
      <c r="D24" s="93">
        <v>200000</v>
      </c>
      <c r="E24" s="93">
        <v>250000</v>
      </c>
      <c r="F24" s="88" t="s">
        <v>124</v>
      </c>
      <c r="G24" s="89" t="s">
        <v>69</v>
      </c>
      <c r="H24" s="90" t="s">
        <v>69</v>
      </c>
      <c r="I24" s="91"/>
      <c r="J24" s="91"/>
      <c r="K24" s="91"/>
      <c r="L24" s="91"/>
      <c r="M24" s="91"/>
      <c r="N24" s="91"/>
      <c r="O24" s="79"/>
      <c r="P24" s="42"/>
      <c r="Q24" s="42"/>
      <c r="R24" s="42"/>
      <c r="S24" s="42"/>
      <c r="T24" s="42"/>
      <c r="U24" s="42"/>
      <c r="V24" s="42"/>
      <c r="W24" s="42"/>
      <c r="X24" s="42"/>
      <c r="Y24" s="42"/>
      <c r="Z24" s="42"/>
    </row>
    <row r="25" spans="1:26" ht="15.75" customHeight="1" x14ac:dyDescent="0.25">
      <c r="A25" s="92" t="s">
        <v>125</v>
      </c>
      <c r="B25" s="93">
        <v>390000</v>
      </c>
      <c r="C25" s="93">
        <v>195000</v>
      </c>
      <c r="D25" s="93">
        <v>180000</v>
      </c>
      <c r="E25" s="93">
        <v>210000</v>
      </c>
      <c r="F25" s="88" t="s">
        <v>126</v>
      </c>
      <c r="G25" s="89" t="s">
        <v>127</v>
      </c>
      <c r="H25" s="90" t="s">
        <v>115</v>
      </c>
      <c r="I25" s="105" t="s">
        <v>128</v>
      </c>
      <c r="J25" s="91"/>
      <c r="K25" s="91"/>
      <c r="L25" s="91"/>
      <c r="M25" s="91"/>
      <c r="N25" s="91"/>
      <c r="O25" s="79"/>
      <c r="P25" s="42"/>
      <c r="Q25" s="42"/>
      <c r="R25" s="42"/>
      <c r="S25" s="42"/>
      <c r="T25" s="42"/>
      <c r="U25" s="42"/>
      <c r="V25" s="42"/>
      <c r="W25" s="42"/>
      <c r="X25" s="42"/>
      <c r="Y25" s="42"/>
      <c r="Z25" s="42"/>
    </row>
    <row r="26" spans="1:26" ht="15.75" customHeight="1" x14ac:dyDescent="0.25">
      <c r="A26" s="92" t="s">
        <v>129</v>
      </c>
      <c r="B26" s="112"/>
      <c r="C26" s="112"/>
      <c r="D26" s="112"/>
      <c r="E26" s="112"/>
      <c r="F26" s="88" t="s">
        <v>126</v>
      </c>
      <c r="G26" s="89" t="s">
        <v>127</v>
      </c>
      <c r="H26" s="90" t="s">
        <v>115</v>
      </c>
      <c r="I26" s="105" t="s">
        <v>128</v>
      </c>
      <c r="J26" s="91"/>
      <c r="K26" s="91"/>
      <c r="L26" s="91"/>
      <c r="M26" s="91"/>
      <c r="N26" s="91"/>
      <c r="O26" s="79"/>
      <c r="P26" s="42"/>
      <c r="Q26" s="42"/>
      <c r="R26" s="42"/>
      <c r="S26" s="42"/>
      <c r="T26" s="42"/>
      <c r="U26" s="42"/>
      <c r="V26" s="42"/>
      <c r="W26" s="42"/>
      <c r="X26" s="42"/>
      <c r="Y26" s="42"/>
      <c r="Z26" s="42"/>
    </row>
    <row r="27" spans="1:26" ht="15.75" customHeight="1" x14ac:dyDescent="0.25">
      <c r="A27" s="92" t="s">
        <v>130</v>
      </c>
      <c r="B27" s="112"/>
      <c r="C27" s="112"/>
      <c r="D27" s="112"/>
      <c r="E27" s="112"/>
      <c r="F27" s="88" t="s">
        <v>69</v>
      </c>
      <c r="G27" s="89" t="s">
        <v>69</v>
      </c>
      <c r="H27" s="90" t="s">
        <v>115</v>
      </c>
      <c r="I27" s="91"/>
      <c r="J27" s="91"/>
      <c r="K27" s="91"/>
      <c r="L27" s="91"/>
      <c r="M27" s="91"/>
      <c r="N27" s="91"/>
      <c r="O27" s="79"/>
      <c r="P27" s="42"/>
      <c r="Q27" s="42"/>
      <c r="R27" s="42"/>
      <c r="S27" s="42"/>
      <c r="T27" s="42"/>
      <c r="U27" s="42"/>
      <c r="V27" s="42"/>
      <c r="W27" s="42"/>
      <c r="X27" s="42"/>
      <c r="Y27" s="42"/>
      <c r="Z27" s="42"/>
    </row>
    <row r="28" spans="1:26" ht="15.75" hidden="1" customHeight="1" x14ac:dyDescent="0.25">
      <c r="A28" s="92" t="s">
        <v>131</v>
      </c>
      <c r="B28" s="93">
        <v>190000</v>
      </c>
      <c r="C28" s="93">
        <v>0</v>
      </c>
      <c r="D28" s="93">
        <v>75000</v>
      </c>
      <c r="E28" s="93">
        <v>115000</v>
      </c>
      <c r="F28" s="88" t="s">
        <v>132</v>
      </c>
      <c r="G28" s="89" t="s">
        <v>133</v>
      </c>
      <c r="H28" s="90" t="s">
        <v>69</v>
      </c>
      <c r="I28" s="91"/>
      <c r="J28" s="111" t="s">
        <v>134</v>
      </c>
      <c r="K28" s="91"/>
      <c r="L28" s="91"/>
      <c r="M28" s="91"/>
      <c r="N28" s="91"/>
      <c r="O28" s="79"/>
      <c r="P28" s="42"/>
      <c r="Q28" s="42"/>
      <c r="R28" s="42"/>
      <c r="S28" s="42"/>
      <c r="T28" s="42"/>
      <c r="U28" s="42"/>
      <c r="V28" s="42"/>
      <c r="W28" s="42"/>
      <c r="X28" s="42"/>
      <c r="Y28" s="42"/>
      <c r="Z28" s="42"/>
    </row>
    <row r="29" spans="1:26" ht="15.75" hidden="1" customHeight="1" x14ac:dyDescent="0.25">
      <c r="A29" s="92" t="s">
        <v>135</v>
      </c>
      <c r="B29" s="93">
        <v>190000</v>
      </c>
      <c r="C29" s="93">
        <v>0</v>
      </c>
      <c r="D29" s="93">
        <v>75000</v>
      </c>
      <c r="E29" s="93">
        <v>115000</v>
      </c>
      <c r="F29" s="88" t="s">
        <v>136</v>
      </c>
      <c r="G29" s="89" t="s">
        <v>137</v>
      </c>
      <c r="H29" s="90" t="s">
        <v>69</v>
      </c>
      <c r="I29" s="91"/>
      <c r="J29" s="111" t="s">
        <v>134</v>
      </c>
      <c r="K29" s="91"/>
      <c r="L29" s="91"/>
      <c r="M29" s="91"/>
      <c r="N29" s="91"/>
      <c r="O29" s="79"/>
      <c r="P29" s="109"/>
      <c r="Q29" s="109"/>
      <c r="R29" s="109"/>
      <c r="S29" s="109"/>
      <c r="T29" s="109"/>
      <c r="U29" s="109"/>
      <c r="V29" s="109"/>
      <c r="W29" s="109"/>
      <c r="X29" s="109"/>
      <c r="Y29" s="109"/>
      <c r="Z29" s="109"/>
    </row>
    <row r="30" spans="1:26" ht="15.75" hidden="1" customHeight="1" x14ac:dyDescent="0.25">
      <c r="A30" s="95" t="s">
        <v>138</v>
      </c>
      <c r="B30" s="96">
        <v>360000</v>
      </c>
      <c r="C30" s="96">
        <v>310000</v>
      </c>
      <c r="D30" s="96">
        <v>120000</v>
      </c>
      <c r="E30" s="96">
        <v>240000</v>
      </c>
      <c r="F30" s="104" t="s">
        <v>139</v>
      </c>
      <c r="G30" s="98" t="s">
        <v>88</v>
      </c>
      <c r="H30" s="99" t="s">
        <v>140</v>
      </c>
      <c r="I30" s="108" t="s">
        <v>141</v>
      </c>
      <c r="J30" s="101" t="s">
        <v>142</v>
      </c>
      <c r="K30" s="100"/>
      <c r="L30" s="100"/>
      <c r="M30" s="100"/>
      <c r="N30" s="100"/>
      <c r="O30" s="102"/>
      <c r="P30" s="103"/>
      <c r="Q30" s="103"/>
      <c r="R30" s="103"/>
      <c r="S30" s="103"/>
      <c r="T30" s="103"/>
      <c r="U30" s="103"/>
      <c r="V30" s="103"/>
      <c r="W30" s="103"/>
      <c r="X30" s="103"/>
      <c r="Y30" s="103"/>
      <c r="Z30" s="103"/>
    </row>
    <row r="31" spans="1:26" ht="15.75" hidden="1" customHeight="1" x14ac:dyDescent="0.25">
      <c r="A31" s="95" t="s">
        <v>143</v>
      </c>
      <c r="B31" s="96">
        <v>320000</v>
      </c>
      <c r="C31" s="96">
        <v>150000</v>
      </c>
      <c r="D31" s="96">
        <v>100000</v>
      </c>
      <c r="E31" s="96">
        <v>220000</v>
      </c>
      <c r="F31" s="104" t="s">
        <v>144</v>
      </c>
      <c r="G31" s="98" t="s">
        <v>88</v>
      </c>
      <c r="H31" s="99" t="s">
        <v>140</v>
      </c>
      <c r="I31" s="108" t="s">
        <v>141</v>
      </c>
      <c r="J31" s="101" t="s">
        <v>142</v>
      </c>
      <c r="K31" s="100"/>
      <c r="L31" s="100"/>
      <c r="M31" s="100"/>
      <c r="N31" s="100"/>
      <c r="O31" s="102"/>
      <c r="P31" s="103"/>
      <c r="Q31" s="103"/>
      <c r="R31" s="103"/>
      <c r="S31" s="103"/>
      <c r="T31" s="103"/>
      <c r="U31" s="103"/>
      <c r="V31" s="103"/>
      <c r="W31" s="103"/>
      <c r="X31" s="103"/>
      <c r="Y31" s="103"/>
      <c r="Z31" s="103"/>
    </row>
    <row r="32" spans="1:26" ht="15.75" customHeight="1" x14ac:dyDescent="0.25">
      <c r="A32" s="95" t="s">
        <v>145</v>
      </c>
      <c r="B32" s="96">
        <v>390000</v>
      </c>
      <c r="C32" s="96">
        <v>310000</v>
      </c>
      <c r="D32" s="96">
        <f t="shared" ref="D32:D33" si="2">B32-E32</f>
        <v>125000</v>
      </c>
      <c r="E32" s="96">
        <v>265000</v>
      </c>
      <c r="F32" s="104" t="s">
        <v>139</v>
      </c>
      <c r="G32" s="98" t="s">
        <v>88</v>
      </c>
      <c r="H32" s="99" t="s">
        <v>89</v>
      </c>
      <c r="I32" s="108" t="s">
        <v>90</v>
      </c>
      <c r="J32" s="101" t="s">
        <v>142</v>
      </c>
      <c r="K32" s="100"/>
      <c r="L32" s="100"/>
      <c r="M32" s="100"/>
      <c r="N32" s="100"/>
      <c r="O32" s="102"/>
      <c r="P32" s="103"/>
      <c r="Q32" s="103"/>
      <c r="R32" s="103"/>
      <c r="S32" s="103"/>
      <c r="T32" s="103"/>
      <c r="U32" s="103"/>
      <c r="V32" s="103"/>
      <c r="W32" s="103"/>
      <c r="X32" s="103"/>
      <c r="Y32" s="103"/>
      <c r="Z32" s="103"/>
    </row>
    <row r="33" spans="1:26" ht="15.75" customHeight="1" x14ac:dyDescent="0.25">
      <c r="A33" s="95" t="s">
        <v>146</v>
      </c>
      <c r="B33" s="96">
        <v>300000</v>
      </c>
      <c r="C33" s="96">
        <v>150000</v>
      </c>
      <c r="D33" s="96">
        <f t="shared" si="2"/>
        <v>60000</v>
      </c>
      <c r="E33" s="96">
        <v>240000</v>
      </c>
      <c r="F33" s="104" t="s">
        <v>144</v>
      </c>
      <c r="G33" s="98" t="s">
        <v>88</v>
      </c>
      <c r="H33" s="99" t="s">
        <v>89</v>
      </c>
      <c r="I33" s="108" t="s">
        <v>90</v>
      </c>
      <c r="J33" s="101" t="s">
        <v>142</v>
      </c>
      <c r="K33" s="100"/>
      <c r="L33" s="100"/>
      <c r="M33" s="100"/>
      <c r="N33" s="100"/>
      <c r="O33" s="102"/>
      <c r="P33" s="103"/>
      <c r="Q33" s="103"/>
      <c r="R33" s="103"/>
      <c r="S33" s="103"/>
      <c r="T33" s="103"/>
      <c r="U33" s="103"/>
      <c r="V33" s="103"/>
      <c r="W33" s="103"/>
      <c r="X33" s="103"/>
      <c r="Y33" s="103"/>
      <c r="Z33" s="103"/>
    </row>
    <row r="34" spans="1:26" ht="15.75" hidden="1" customHeight="1" x14ac:dyDescent="0.25">
      <c r="A34" s="92" t="s">
        <v>147</v>
      </c>
      <c r="B34" s="93">
        <v>370000</v>
      </c>
      <c r="C34" s="93">
        <v>250000</v>
      </c>
      <c r="D34" s="93">
        <v>138000</v>
      </c>
      <c r="E34" s="93">
        <v>232000</v>
      </c>
      <c r="F34" s="88" t="s">
        <v>148</v>
      </c>
      <c r="G34" s="89" t="s">
        <v>149</v>
      </c>
      <c r="H34" s="90" t="s">
        <v>150</v>
      </c>
      <c r="I34" s="105" t="s">
        <v>151</v>
      </c>
      <c r="J34" s="105" t="s">
        <v>152</v>
      </c>
      <c r="K34" s="91"/>
      <c r="L34" s="91"/>
      <c r="M34" s="91"/>
      <c r="N34" s="91"/>
      <c r="O34" s="79"/>
      <c r="P34" s="109"/>
      <c r="Q34" s="109"/>
      <c r="R34" s="109"/>
      <c r="S34" s="109"/>
      <c r="T34" s="109"/>
      <c r="U34" s="109"/>
      <c r="V34" s="109"/>
      <c r="W34" s="109"/>
      <c r="X34" s="109"/>
      <c r="Y34" s="109"/>
      <c r="Z34" s="109"/>
    </row>
    <row r="35" spans="1:26" ht="15.75" hidden="1" customHeight="1" x14ac:dyDescent="0.25">
      <c r="A35" s="92" t="s">
        <v>153</v>
      </c>
      <c r="B35" s="93">
        <v>310000</v>
      </c>
      <c r="C35" s="93">
        <v>140000</v>
      </c>
      <c r="D35" s="93">
        <v>190000</v>
      </c>
      <c r="E35" s="93">
        <v>120000</v>
      </c>
      <c r="F35" s="88" t="s">
        <v>154</v>
      </c>
      <c r="G35" s="89" t="s">
        <v>149</v>
      </c>
      <c r="H35" s="90" t="s">
        <v>150</v>
      </c>
      <c r="I35" s="105" t="s">
        <v>151</v>
      </c>
      <c r="J35" s="105" t="s">
        <v>152</v>
      </c>
      <c r="K35" s="91"/>
      <c r="L35" s="91"/>
      <c r="M35" s="91"/>
      <c r="N35" s="91"/>
      <c r="O35" s="79"/>
      <c r="P35" s="109"/>
      <c r="Q35" s="109"/>
      <c r="R35" s="109"/>
      <c r="S35" s="109"/>
      <c r="T35" s="109"/>
      <c r="U35" s="109"/>
      <c r="V35" s="109"/>
      <c r="W35" s="109"/>
      <c r="X35" s="109"/>
      <c r="Y35" s="109"/>
      <c r="Z35" s="109"/>
    </row>
    <row r="36" spans="1:26" ht="15.75" hidden="1" customHeight="1" x14ac:dyDescent="0.25">
      <c r="A36" s="92" t="s">
        <v>155</v>
      </c>
      <c r="B36" s="93">
        <v>270000</v>
      </c>
      <c r="C36" s="93">
        <v>90000</v>
      </c>
      <c r="D36" s="93">
        <v>170000</v>
      </c>
      <c r="E36" s="93">
        <v>100000</v>
      </c>
      <c r="F36" s="88" t="s">
        <v>156</v>
      </c>
      <c r="G36" s="89" t="s">
        <v>149</v>
      </c>
      <c r="H36" s="90" t="s">
        <v>150</v>
      </c>
      <c r="I36" s="105" t="s">
        <v>151</v>
      </c>
      <c r="J36" s="105" t="s">
        <v>152</v>
      </c>
      <c r="K36" s="91"/>
      <c r="L36" s="91"/>
      <c r="M36" s="91"/>
      <c r="N36" s="91"/>
      <c r="O36" s="79"/>
      <c r="P36" s="109"/>
      <c r="Q36" s="109"/>
      <c r="R36" s="109"/>
      <c r="S36" s="109"/>
      <c r="T36" s="109"/>
      <c r="U36" s="109"/>
      <c r="V36" s="109"/>
      <c r="W36" s="109"/>
      <c r="X36" s="109"/>
      <c r="Y36" s="109"/>
      <c r="Z36" s="109"/>
    </row>
    <row r="37" spans="1:26" ht="15.75" hidden="1" customHeight="1" x14ac:dyDescent="0.25">
      <c r="A37" s="92" t="s">
        <v>157</v>
      </c>
      <c r="B37" s="112"/>
      <c r="C37" s="112"/>
      <c r="D37" s="112"/>
      <c r="E37" s="93">
        <v>200000</v>
      </c>
      <c r="F37" s="88" t="s">
        <v>158</v>
      </c>
      <c r="G37" s="89" t="s">
        <v>149</v>
      </c>
      <c r="H37" s="90" t="s">
        <v>150</v>
      </c>
      <c r="I37" s="105" t="s">
        <v>151</v>
      </c>
      <c r="J37" s="105" t="s">
        <v>152</v>
      </c>
      <c r="K37" s="91"/>
      <c r="L37" s="91"/>
      <c r="M37" s="91"/>
      <c r="N37" s="91"/>
      <c r="O37" s="79"/>
      <c r="P37" s="109"/>
      <c r="Q37" s="109"/>
      <c r="R37" s="109"/>
      <c r="S37" s="109"/>
      <c r="T37" s="109"/>
      <c r="U37" s="109"/>
      <c r="V37" s="109"/>
      <c r="W37" s="109"/>
      <c r="X37" s="109"/>
      <c r="Y37" s="109"/>
      <c r="Z37" s="109"/>
    </row>
    <row r="38" spans="1:26" ht="15.75" hidden="1" customHeight="1" x14ac:dyDescent="0.25">
      <c r="A38" s="92" t="s">
        <v>159</v>
      </c>
      <c r="B38" s="93">
        <v>330000</v>
      </c>
      <c r="C38" s="93">
        <v>200000</v>
      </c>
      <c r="D38" s="93">
        <v>170000</v>
      </c>
      <c r="E38" s="93">
        <v>160000</v>
      </c>
      <c r="F38" s="88" t="s">
        <v>160</v>
      </c>
      <c r="G38" s="89" t="s">
        <v>161</v>
      </c>
      <c r="H38" s="90" t="s">
        <v>150</v>
      </c>
      <c r="I38" s="91"/>
      <c r="J38" s="91"/>
      <c r="K38" s="91"/>
      <c r="L38" s="91"/>
      <c r="M38" s="91"/>
      <c r="N38" s="91"/>
      <c r="O38" s="79"/>
      <c r="P38" s="109"/>
      <c r="Q38" s="109"/>
      <c r="R38" s="109"/>
      <c r="S38" s="109"/>
      <c r="T38" s="109"/>
      <c r="U38" s="109"/>
      <c r="V38" s="109"/>
      <c r="W38" s="109"/>
      <c r="X38" s="109"/>
      <c r="Y38" s="109"/>
      <c r="Z38" s="109"/>
    </row>
    <row r="39" spans="1:26" ht="15.75" hidden="1" customHeight="1" x14ac:dyDescent="0.25">
      <c r="A39" s="92" t="s">
        <v>162</v>
      </c>
      <c r="B39" s="93">
        <v>270000</v>
      </c>
      <c r="C39" s="93">
        <v>160000</v>
      </c>
      <c r="D39" s="93">
        <v>140000</v>
      </c>
      <c r="E39" s="93">
        <v>130000</v>
      </c>
      <c r="F39" s="88" t="s">
        <v>163</v>
      </c>
      <c r="G39" s="89" t="s">
        <v>69</v>
      </c>
      <c r="H39" s="90" t="s">
        <v>150</v>
      </c>
      <c r="I39" s="91"/>
      <c r="J39" s="91"/>
      <c r="K39" s="91"/>
      <c r="L39" s="91"/>
      <c r="M39" s="91"/>
      <c r="N39" s="91"/>
      <c r="O39" s="79"/>
      <c r="P39" s="109"/>
      <c r="Q39" s="109"/>
      <c r="R39" s="109"/>
      <c r="S39" s="109"/>
      <c r="T39" s="109"/>
      <c r="U39" s="109"/>
      <c r="V39" s="109"/>
      <c r="W39" s="109"/>
      <c r="X39" s="109"/>
      <c r="Y39" s="109"/>
      <c r="Z39" s="109"/>
    </row>
    <row r="40" spans="1:26" ht="15.75" customHeight="1" x14ac:dyDescent="0.25">
      <c r="A40" s="113" t="s">
        <v>164</v>
      </c>
      <c r="B40" s="114">
        <v>420000</v>
      </c>
      <c r="C40" s="114">
        <v>370000</v>
      </c>
      <c r="D40" s="114">
        <f t="shared" ref="D40:D41" si="3">B40-E40</f>
        <v>140000</v>
      </c>
      <c r="E40" s="114">
        <v>280000</v>
      </c>
      <c r="F40" s="115" t="s">
        <v>165</v>
      </c>
      <c r="G40" s="116" t="s">
        <v>166</v>
      </c>
      <c r="H40" s="117" t="s">
        <v>167</v>
      </c>
      <c r="I40" s="118" t="s">
        <v>168</v>
      </c>
      <c r="J40" s="119" t="s">
        <v>169</v>
      </c>
      <c r="K40" s="120"/>
      <c r="L40" s="120"/>
      <c r="M40" s="120"/>
      <c r="N40" s="120"/>
      <c r="O40" s="82"/>
      <c r="P40" s="121"/>
      <c r="Q40" s="121"/>
      <c r="R40" s="121"/>
      <c r="S40" s="121"/>
      <c r="T40" s="121"/>
      <c r="U40" s="121"/>
      <c r="V40" s="121"/>
      <c r="W40" s="121"/>
      <c r="X40" s="121"/>
      <c r="Y40" s="121"/>
      <c r="Z40" s="121"/>
    </row>
    <row r="41" spans="1:26" ht="15.75" customHeight="1" x14ac:dyDescent="0.25">
      <c r="A41" s="113" t="s">
        <v>170</v>
      </c>
      <c r="B41" s="114">
        <v>320000</v>
      </c>
      <c r="C41" s="114">
        <v>230000</v>
      </c>
      <c r="D41" s="114">
        <f t="shared" si="3"/>
        <v>147000</v>
      </c>
      <c r="E41" s="114">
        <v>173000</v>
      </c>
      <c r="F41" s="115" t="s">
        <v>171</v>
      </c>
      <c r="G41" s="116" t="s">
        <v>166</v>
      </c>
      <c r="H41" s="117" t="s">
        <v>82</v>
      </c>
      <c r="I41" s="118" t="s">
        <v>151</v>
      </c>
      <c r="J41" s="119" t="s">
        <v>169</v>
      </c>
      <c r="K41" s="120"/>
      <c r="L41" s="120"/>
      <c r="M41" s="120"/>
      <c r="N41" s="120"/>
      <c r="O41" s="82"/>
      <c r="P41" s="121"/>
      <c r="Q41" s="121"/>
      <c r="R41" s="121"/>
      <c r="S41" s="121"/>
      <c r="T41" s="121"/>
      <c r="U41" s="121"/>
      <c r="V41" s="121"/>
      <c r="W41" s="121"/>
      <c r="X41" s="121"/>
      <c r="Y41" s="121"/>
      <c r="Z41" s="121"/>
    </row>
    <row r="42" spans="1:26" ht="15.75" customHeight="1" x14ac:dyDescent="0.25">
      <c r="A42" s="92" t="s">
        <v>172</v>
      </c>
      <c r="B42" s="93">
        <v>350000</v>
      </c>
      <c r="C42" s="93">
        <v>180000</v>
      </c>
      <c r="D42" s="93">
        <v>230000</v>
      </c>
      <c r="E42" s="93">
        <v>120000</v>
      </c>
      <c r="F42" s="88" t="s">
        <v>173</v>
      </c>
      <c r="G42" s="89" t="s">
        <v>166</v>
      </c>
      <c r="H42" s="90" t="s">
        <v>82</v>
      </c>
      <c r="I42" s="105" t="s">
        <v>151</v>
      </c>
      <c r="J42" s="111" t="s">
        <v>169</v>
      </c>
      <c r="K42" s="91"/>
      <c r="L42" s="91"/>
      <c r="M42" s="91"/>
      <c r="N42" s="91"/>
      <c r="O42" s="79"/>
      <c r="P42" s="109"/>
      <c r="Q42" s="109"/>
      <c r="R42" s="109"/>
      <c r="S42" s="109"/>
      <c r="T42" s="109"/>
      <c r="U42" s="109"/>
      <c r="V42" s="109"/>
      <c r="W42" s="109"/>
      <c r="X42" s="109"/>
      <c r="Y42" s="109"/>
      <c r="Z42" s="109"/>
    </row>
    <row r="43" spans="1:26" ht="15.75" customHeight="1" x14ac:dyDescent="0.25">
      <c r="A43" s="92" t="s">
        <v>174</v>
      </c>
      <c r="B43" s="112"/>
      <c r="C43" s="93">
        <v>260000</v>
      </c>
      <c r="D43" s="93">
        <v>-234000</v>
      </c>
      <c r="E43" s="93">
        <v>234000</v>
      </c>
      <c r="F43" s="88" t="s">
        <v>175</v>
      </c>
      <c r="G43" s="89" t="s">
        <v>166</v>
      </c>
      <c r="H43" s="90" t="s">
        <v>82</v>
      </c>
      <c r="I43" s="105" t="s">
        <v>151</v>
      </c>
      <c r="J43" s="111" t="s">
        <v>169</v>
      </c>
      <c r="K43" s="91"/>
      <c r="L43" s="91"/>
      <c r="M43" s="91"/>
      <c r="N43" s="91"/>
      <c r="O43" s="79"/>
      <c r="P43" s="109"/>
      <c r="Q43" s="109"/>
      <c r="R43" s="109"/>
      <c r="S43" s="109"/>
      <c r="T43" s="109"/>
      <c r="U43" s="109"/>
      <c r="V43" s="109"/>
      <c r="W43" s="109"/>
      <c r="X43" s="109"/>
      <c r="Y43" s="109"/>
      <c r="Z43" s="109"/>
    </row>
    <row r="44" spans="1:26" ht="15.75" customHeight="1" x14ac:dyDescent="0.25">
      <c r="A44" s="92" t="s">
        <v>9</v>
      </c>
      <c r="B44" s="93">
        <v>530000</v>
      </c>
      <c r="C44" s="93">
        <v>250000</v>
      </c>
      <c r="D44" s="93">
        <f>B44-E44</f>
        <v>180000</v>
      </c>
      <c r="E44" s="93">
        <v>350000</v>
      </c>
      <c r="F44" s="88" t="s">
        <v>176</v>
      </c>
      <c r="G44" s="122" t="s">
        <v>177</v>
      </c>
      <c r="H44" s="123" t="s">
        <v>167</v>
      </c>
      <c r="I44" s="124" t="s">
        <v>178</v>
      </c>
      <c r="J44" s="125" t="s">
        <v>179</v>
      </c>
      <c r="K44" s="91"/>
      <c r="L44" s="91"/>
      <c r="M44" s="91"/>
      <c r="N44" s="91"/>
      <c r="O44" s="79"/>
      <c r="P44" s="42"/>
      <c r="Q44" s="42"/>
      <c r="R44" s="42"/>
      <c r="S44" s="42"/>
      <c r="T44" s="42"/>
      <c r="U44" s="42"/>
      <c r="V44" s="42"/>
      <c r="W44" s="42"/>
      <c r="X44" s="42"/>
      <c r="Y44" s="42"/>
      <c r="Z44" s="42"/>
    </row>
    <row r="45" spans="1:26" ht="15.75" customHeight="1" x14ac:dyDescent="0.25">
      <c r="A45" s="92" t="s">
        <v>180</v>
      </c>
      <c r="B45" s="93">
        <v>150000</v>
      </c>
      <c r="C45" s="93">
        <v>260000</v>
      </c>
      <c r="D45" s="93">
        <v>150000</v>
      </c>
      <c r="E45" s="112"/>
      <c r="F45" s="88" t="s">
        <v>181</v>
      </c>
      <c r="G45" s="122" t="s">
        <v>88</v>
      </c>
      <c r="H45" s="123" t="s">
        <v>140</v>
      </c>
      <c r="I45" s="124" t="s">
        <v>141</v>
      </c>
      <c r="J45" s="125" t="s">
        <v>142</v>
      </c>
      <c r="K45" s="91"/>
      <c r="L45" s="91"/>
      <c r="M45" s="91"/>
      <c r="N45" s="91"/>
      <c r="O45" s="79"/>
      <c r="P45" s="42"/>
      <c r="Q45" s="42"/>
      <c r="R45" s="42"/>
      <c r="S45" s="42"/>
      <c r="T45" s="42"/>
      <c r="U45" s="42"/>
      <c r="V45" s="42"/>
      <c r="W45" s="42"/>
      <c r="X45" s="42"/>
      <c r="Y45" s="42"/>
      <c r="Z45" s="42"/>
    </row>
    <row r="46" spans="1:26" ht="15.75" hidden="1" customHeight="1" x14ac:dyDescent="0.25">
      <c r="A46" s="92" t="s">
        <v>182</v>
      </c>
      <c r="B46" s="93">
        <v>250000</v>
      </c>
      <c r="C46" s="93">
        <v>145000</v>
      </c>
      <c r="D46" s="93">
        <v>90000</v>
      </c>
      <c r="E46" s="93">
        <v>160000</v>
      </c>
      <c r="F46" s="88" t="s">
        <v>183</v>
      </c>
      <c r="G46" s="89" t="s">
        <v>184</v>
      </c>
      <c r="H46" s="90" t="s">
        <v>82</v>
      </c>
      <c r="I46" s="91"/>
      <c r="J46" s="91"/>
      <c r="K46" s="91"/>
      <c r="L46" s="91"/>
      <c r="M46" s="91"/>
      <c r="N46" s="91"/>
      <c r="O46" s="79"/>
      <c r="P46" s="42"/>
      <c r="Q46" s="42"/>
      <c r="R46" s="42"/>
      <c r="S46" s="42"/>
      <c r="T46" s="42"/>
      <c r="U46" s="42"/>
      <c r="V46" s="42"/>
      <c r="W46" s="42"/>
      <c r="X46" s="42"/>
      <c r="Y46" s="42"/>
      <c r="Z46" s="42"/>
    </row>
    <row r="47" spans="1:26" ht="15.75" hidden="1" customHeight="1" x14ac:dyDescent="0.25">
      <c r="A47" s="92" t="s">
        <v>185</v>
      </c>
      <c r="B47" s="93">
        <v>350000</v>
      </c>
      <c r="C47" s="93">
        <v>300000</v>
      </c>
      <c r="D47" s="93">
        <v>120000</v>
      </c>
      <c r="E47" s="93">
        <v>230000</v>
      </c>
      <c r="F47" s="88" t="s">
        <v>186</v>
      </c>
      <c r="G47" s="89" t="s">
        <v>184</v>
      </c>
      <c r="H47" s="90" t="s">
        <v>82</v>
      </c>
      <c r="I47" s="91"/>
      <c r="J47" s="91"/>
      <c r="K47" s="91"/>
      <c r="L47" s="91"/>
      <c r="M47" s="91"/>
      <c r="N47" s="91"/>
      <c r="O47" s="79"/>
      <c r="P47" s="42"/>
      <c r="Q47" s="42"/>
      <c r="R47" s="42"/>
      <c r="S47" s="42"/>
      <c r="T47" s="42"/>
      <c r="U47" s="42"/>
      <c r="V47" s="42"/>
      <c r="W47" s="42"/>
      <c r="X47" s="42"/>
      <c r="Y47" s="42"/>
      <c r="Z47" s="42"/>
    </row>
    <row r="48" spans="1:26" ht="15.75" customHeight="1" x14ac:dyDescent="0.25">
      <c r="A48" s="113" t="s">
        <v>187</v>
      </c>
      <c r="B48" s="114">
        <v>420000</v>
      </c>
      <c r="C48" s="114">
        <v>380000</v>
      </c>
      <c r="D48" s="114">
        <f>B48-E48</f>
        <v>130000</v>
      </c>
      <c r="E48" s="114">
        <v>290000</v>
      </c>
      <c r="F48" s="115" t="s">
        <v>188</v>
      </c>
      <c r="G48" s="116" t="s">
        <v>189</v>
      </c>
      <c r="H48" s="117" t="s">
        <v>82</v>
      </c>
      <c r="I48" s="118" t="s">
        <v>151</v>
      </c>
      <c r="J48" s="126" t="s">
        <v>91</v>
      </c>
      <c r="K48" s="120"/>
      <c r="L48" s="120"/>
      <c r="M48" s="120"/>
      <c r="N48" s="120"/>
      <c r="O48" s="82"/>
      <c r="P48" s="121"/>
      <c r="Q48" s="121"/>
      <c r="R48" s="121"/>
      <c r="S48" s="121"/>
      <c r="T48" s="121"/>
      <c r="U48" s="121"/>
      <c r="V48" s="121"/>
      <c r="W48" s="121"/>
      <c r="X48" s="121"/>
      <c r="Y48" s="121"/>
      <c r="Z48" s="121"/>
    </row>
    <row r="49" spans="1:26" ht="15.75" customHeight="1" x14ac:dyDescent="0.25">
      <c r="A49" s="92" t="s">
        <v>190</v>
      </c>
      <c r="B49" s="112"/>
      <c r="C49" s="112"/>
      <c r="D49" s="112"/>
      <c r="E49" s="112"/>
      <c r="F49" s="88" t="s">
        <v>191</v>
      </c>
      <c r="G49" s="89" t="s">
        <v>189</v>
      </c>
      <c r="H49" s="90" t="s">
        <v>82</v>
      </c>
      <c r="I49" s="105" t="s">
        <v>151</v>
      </c>
      <c r="J49" s="127" t="s">
        <v>91</v>
      </c>
      <c r="K49" s="91"/>
      <c r="L49" s="91"/>
      <c r="M49" s="91"/>
      <c r="N49" s="91"/>
      <c r="O49" s="79"/>
      <c r="P49" s="42"/>
      <c r="Q49" s="42"/>
      <c r="R49" s="42"/>
      <c r="S49" s="42"/>
      <c r="T49" s="42"/>
      <c r="U49" s="42"/>
      <c r="V49" s="42"/>
      <c r="W49" s="42"/>
      <c r="X49" s="42"/>
      <c r="Y49" s="42"/>
      <c r="Z49" s="42"/>
    </row>
    <row r="50" spans="1:26" ht="15.75" customHeight="1" x14ac:dyDescent="0.25">
      <c r="A50" s="128" t="s">
        <v>192</v>
      </c>
      <c r="B50" s="129">
        <v>630000</v>
      </c>
      <c r="C50" s="129">
        <v>390000</v>
      </c>
      <c r="D50" s="129">
        <v>170000</v>
      </c>
      <c r="E50" s="129">
        <v>460000</v>
      </c>
      <c r="F50" s="130" t="s">
        <v>193</v>
      </c>
      <c r="G50" s="131" t="s">
        <v>69</v>
      </c>
      <c r="H50" s="132" t="s">
        <v>69</v>
      </c>
      <c r="I50" s="133"/>
      <c r="J50" s="133"/>
      <c r="K50" s="133"/>
      <c r="L50" s="133"/>
      <c r="M50" s="133"/>
      <c r="N50" s="133"/>
      <c r="O50" s="134"/>
      <c r="P50" s="135"/>
      <c r="Q50" s="135"/>
      <c r="R50" s="135"/>
      <c r="S50" s="135"/>
      <c r="T50" s="135"/>
      <c r="U50" s="135"/>
      <c r="V50" s="135"/>
      <c r="W50" s="135"/>
      <c r="X50" s="135"/>
      <c r="Y50" s="135"/>
      <c r="Z50" s="135"/>
    </row>
    <row r="51" spans="1:26" ht="15.75" customHeight="1" x14ac:dyDescent="0.25">
      <c r="A51" s="128" t="s">
        <v>192</v>
      </c>
      <c r="B51" s="129">
        <v>0</v>
      </c>
      <c r="C51" s="129">
        <v>390000</v>
      </c>
      <c r="D51" s="129">
        <v>0</v>
      </c>
      <c r="E51" s="129">
        <v>0</v>
      </c>
      <c r="F51" s="130" t="s">
        <v>193</v>
      </c>
      <c r="G51" s="131" t="s">
        <v>69</v>
      </c>
      <c r="H51" s="132" t="s">
        <v>69</v>
      </c>
      <c r="I51" s="133"/>
      <c r="J51" s="133"/>
      <c r="K51" s="133"/>
      <c r="L51" s="133"/>
      <c r="M51" s="133"/>
      <c r="N51" s="133"/>
      <c r="O51" s="134"/>
      <c r="P51" s="135"/>
      <c r="Q51" s="135"/>
      <c r="R51" s="135"/>
      <c r="S51" s="135"/>
      <c r="T51" s="135"/>
      <c r="U51" s="135"/>
      <c r="V51" s="135"/>
      <c r="W51" s="135"/>
      <c r="X51" s="135"/>
      <c r="Y51" s="135"/>
      <c r="Z51" s="135"/>
    </row>
    <row r="52" spans="1:26" ht="15.75" customHeight="1" x14ac:dyDescent="0.25">
      <c r="A52" s="128" t="s">
        <v>194</v>
      </c>
      <c r="B52" s="129">
        <v>590000</v>
      </c>
      <c r="C52" s="129">
        <v>390000</v>
      </c>
      <c r="D52" s="129">
        <v>100000</v>
      </c>
      <c r="E52" s="129">
        <v>490000</v>
      </c>
      <c r="F52" s="130" t="s">
        <v>195</v>
      </c>
      <c r="G52" s="131" t="s">
        <v>69</v>
      </c>
      <c r="H52" s="132" t="s">
        <v>69</v>
      </c>
      <c r="I52" s="133"/>
      <c r="J52" s="133"/>
      <c r="K52" s="133"/>
      <c r="L52" s="133"/>
      <c r="M52" s="133"/>
      <c r="N52" s="133"/>
      <c r="O52" s="134"/>
      <c r="P52" s="135"/>
      <c r="Q52" s="135"/>
      <c r="R52" s="135"/>
      <c r="S52" s="135"/>
      <c r="T52" s="135"/>
      <c r="U52" s="135"/>
      <c r="V52" s="135"/>
      <c r="W52" s="135"/>
      <c r="X52" s="135"/>
      <c r="Y52" s="135"/>
      <c r="Z52" s="135"/>
    </row>
    <row r="53" spans="1:26" ht="15.75" hidden="1" customHeight="1" x14ac:dyDescent="0.25">
      <c r="A53" s="92" t="s">
        <v>194</v>
      </c>
      <c r="B53" s="93">
        <v>0</v>
      </c>
      <c r="C53" s="93">
        <v>390000</v>
      </c>
      <c r="D53" s="93">
        <v>0</v>
      </c>
      <c r="E53" s="93">
        <v>0</v>
      </c>
      <c r="F53" s="88" t="s">
        <v>195</v>
      </c>
      <c r="G53" s="89" t="s">
        <v>69</v>
      </c>
      <c r="H53" s="90" t="s">
        <v>69</v>
      </c>
      <c r="I53" s="91"/>
      <c r="J53" s="91"/>
      <c r="K53" s="91"/>
      <c r="L53" s="91"/>
      <c r="M53" s="91"/>
      <c r="N53" s="91"/>
      <c r="O53" s="79"/>
      <c r="P53" s="42"/>
      <c r="Q53" s="42"/>
      <c r="R53" s="42"/>
      <c r="S53" s="42"/>
      <c r="T53" s="42"/>
      <c r="U53" s="42"/>
      <c r="V53" s="42"/>
      <c r="W53" s="42"/>
      <c r="X53" s="42"/>
      <c r="Y53" s="42"/>
      <c r="Z53" s="42"/>
    </row>
    <row r="54" spans="1:26" ht="15.75" hidden="1" customHeight="1" x14ac:dyDescent="0.25">
      <c r="A54" s="92" t="s">
        <v>196</v>
      </c>
      <c r="B54" s="93">
        <v>250000</v>
      </c>
      <c r="C54" s="93">
        <v>180000</v>
      </c>
      <c r="D54" s="93">
        <v>70000</v>
      </c>
      <c r="E54" s="93">
        <v>180000</v>
      </c>
      <c r="F54" s="88" t="s">
        <v>197</v>
      </c>
      <c r="G54" s="89" t="s">
        <v>69</v>
      </c>
      <c r="H54" s="90" t="s">
        <v>69</v>
      </c>
      <c r="I54" s="91"/>
      <c r="J54" s="91"/>
      <c r="K54" s="91"/>
      <c r="L54" s="91"/>
      <c r="M54" s="91"/>
      <c r="N54" s="91"/>
      <c r="O54" s="79"/>
      <c r="P54" s="42"/>
      <c r="Q54" s="42"/>
      <c r="R54" s="42"/>
      <c r="S54" s="42"/>
      <c r="T54" s="42"/>
      <c r="U54" s="42"/>
      <c r="V54" s="42"/>
      <c r="W54" s="42"/>
      <c r="X54" s="42"/>
      <c r="Y54" s="42"/>
      <c r="Z54" s="42"/>
    </row>
    <row r="55" spans="1:26" ht="15.75" hidden="1" customHeight="1" x14ac:dyDescent="0.25">
      <c r="A55" s="92" t="s">
        <v>198</v>
      </c>
      <c r="B55" s="93">
        <v>0</v>
      </c>
      <c r="C55" s="93">
        <v>250000</v>
      </c>
      <c r="D55" s="93">
        <v>0</v>
      </c>
      <c r="E55" s="93">
        <v>0</v>
      </c>
      <c r="F55" s="88" t="s">
        <v>199</v>
      </c>
      <c r="G55" s="89" t="s">
        <v>200</v>
      </c>
      <c r="H55" s="90" t="s">
        <v>69</v>
      </c>
      <c r="I55" s="91"/>
      <c r="J55" s="105" t="s">
        <v>201</v>
      </c>
      <c r="K55" s="91"/>
      <c r="L55" s="91"/>
      <c r="M55" s="91"/>
      <c r="N55" s="91"/>
      <c r="O55" s="79"/>
      <c r="P55" s="42"/>
      <c r="Q55" s="42"/>
      <c r="R55" s="42"/>
      <c r="S55" s="42"/>
      <c r="T55" s="42"/>
      <c r="U55" s="42"/>
      <c r="V55" s="42"/>
      <c r="W55" s="42"/>
      <c r="X55" s="42"/>
      <c r="Y55" s="42"/>
      <c r="Z55" s="42"/>
    </row>
    <row r="56" spans="1:26" ht="15.75" hidden="1" customHeight="1" x14ac:dyDescent="0.25">
      <c r="A56" s="92" t="s">
        <v>202</v>
      </c>
      <c r="B56" s="93">
        <v>0</v>
      </c>
      <c r="C56" s="93">
        <v>280000</v>
      </c>
      <c r="D56" s="93">
        <v>0</v>
      </c>
      <c r="E56" s="93">
        <v>0</v>
      </c>
      <c r="F56" s="88" t="s">
        <v>203</v>
      </c>
      <c r="G56" s="89" t="s">
        <v>200</v>
      </c>
      <c r="H56" s="90" t="s">
        <v>69</v>
      </c>
      <c r="I56" s="91"/>
      <c r="J56" s="105" t="s">
        <v>201</v>
      </c>
      <c r="K56" s="91"/>
      <c r="L56" s="91"/>
      <c r="M56" s="91"/>
      <c r="N56" s="91"/>
      <c r="O56" s="79"/>
      <c r="P56" s="42"/>
      <c r="Q56" s="42"/>
      <c r="R56" s="42"/>
      <c r="S56" s="42"/>
      <c r="T56" s="42"/>
      <c r="U56" s="42"/>
      <c r="V56" s="42"/>
      <c r="W56" s="42"/>
      <c r="X56" s="42"/>
      <c r="Y56" s="42"/>
      <c r="Z56" s="42"/>
    </row>
    <row r="57" spans="1:26" ht="15.75" hidden="1" customHeight="1" x14ac:dyDescent="0.25">
      <c r="A57" s="92" t="s">
        <v>204</v>
      </c>
      <c r="B57" s="93">
        <v>0</v>
      </c>
      <c r="C57" s="93">
        <v>1000000</v>
      </c>
      <c r="D57" s="93">
        <v>0</v>
      </c>
      <c r="E57" s="93">
        <v>0</v>
      </c>
      <c r="F57" s="88" t="s">
        <v>205</v>
      </c>
      <c r="G57" s="89" t="s">
        <v>200</v>
      </c>
      <c r="H57" s="90" t="s">
        <v>69</v>
      </c>
      <c r="I57" s="91"/>
      <c r="J57" s="105" t="s">
        <v>201</v>
      </c>
      <c r="K57" s="91"/>
      <c r="L57" s="91"/>
      <c r="M57" s="91"/>
      <c r="N57" s="91"/>
      <c r="O57" s="79"/>
      <c r="P57" s="42"/>
      <c r="Q57" s="42"/>
      <c r="R57" s="42"/>
      <c r="S57" s="42"/>
      <c r="T57" s="42"/>
      <c r="U57" s="42"/>
      <c r="V57" s="42"/>
      <c r="W57" s="42"/>
      <c r="X57" s="42"/>
      <c r="Y57" s="42"/>
      <c r="Z57" s="42"/>
    </row>
    <row r="58" spans="1:26" ht="15.75" customHeight="1" x14ac:dyDescent="0.25">
      <c r="A58" s="92" t="s">
        <v>206</v>
      </c>
      <c r="B58" s="93">
        <v>300000</v>
      </c>
      <c r="C58" s="93">
        <v>130000</v>
      </c>
      <c r="D58" s="93">
        <v>140000</v>
      </c>
      <c r="E58" s="93">
        <v>160000</v>
      </c>
      <c r="F58" s="88" t="s">
        <v>207</v>
      </c>
      <c r="G58" s="89" t="s">
        <v>208</v>
      </c>
      <c r="H58" s="90" t="s">
        <v>69</v>
      </c>
      <c r="I58" s="91"/>
      <c r="J58" s="105" t="s">
        <v>142</v>
      </c>
      <c r="K58" s="91"/>
      <c r="L58" s="91"/>
      <c r="M58" s="91"/>
      <c r="N58" s="91"/>
      <c r="O58" s="79"/>
      <c r="P58" s="42"/>
      <c r="Q58" s="42"/>
      <c r="R58" s="42"/>
      <c r="S58" s="42"/>
      <c r="T58" s="42"/>
      <c r="U58" s="42"/>
      <c r="V58" s="42"/>
      <c r="W58" s="42"/>
      <c r="X58" s="42"/>
      <c r="Y58" s="42"/>
      <c r="Z58" s="42"/>
    </row>
    <row r="59" spans="1:26" ht="15.75" hidden="1" customHeight="1" x14ac:dyDescent="0.25">
      <c r="A59" s="92" t="s">
        <v>209</v>
      </c>
      <c r="B59" s="93">
        <v>350000</v>
      </c>
      <c r="C59" s="93">
        <v>130000</v>
      </c>
      <c r="D59" s="93">
        <v>215000</v>
      </c>
      <c r="E59" s="93">
        <v>135000</v>
      </c>
      <c r="F59" s="88" t="s">
        <v>210</v>
      </c>
      <c r="G59" s="89" t="s">
        <v>211</v>
      </c>
      <c r="H59" s="90" t="s">
        <v>69</v>
      </c>
      <c r="I59" s="91"/>
      <c r="J59" s="105" t="s">
        <v>212</v>
      </c>
      <c r="K59" s="91"/>
      <c r="L59" s="91"/>
      <c r="M59" s="91"/>
      <c r="N59" s="91"/>
      <c r="O59" s="79"/>
      <c r="P59" s="42"/>
      <c r="Q59" s="42"/>
      <c r="R59" s="42"/>
      <c r="S59" s="42"/>
      <c r="T59" s="42"/>
      <c r="U59" s="42"/>
      <c r="V59" s="42"/>
      <c r="W59" s="42"/>
      <c r="X59" s="42"/>
      <c r="Y59" s="42"/>
      <c r="Z59" s="42"/>
    </row>
    <row r="60" spans="1:26" ht="15.75" hidden="1" customHeight="1" x14ac:dyDescent="0.25">
      <c r="A60" s="92" t="s">
        <v>213</v>
      </c>
      <c r="B60" s="93">
        <v>210000</v>
      </c>
      <c r="C60" s="93">
        <v>110000</v>
      </c>
      <c r="D60" s="93">
        <v>110000</v>
      </c>
      <c r="E60" s="93">
        <v>100000</v>
      </c>
      <c r="F60" s="88" t="s">
        <v>214</v>
      </c>
      <c r="G60" s="89" t="s">
        <v>211</v>
      </c>
      <c r="H60" s="90" t="s">
        <v>69</v>
      </c>
      <c r="I60" s="91"/>
      <c r="J60" s="105" t="s">
        <v>212</v>
      </c>
      <c r="K60" s="91"/>
      <c r="L60" s="91"/>
      <c r="M60" s="91"/>
      <c r="N60" s="91"/>
      <c r="O60" s="79"/>
      <c r="P60" s="42"/>
      <c r="Q60" s="42"/>
      <c r="R60" s="42"/>
      <c r="S60" s="42"/>
      <c r="T60" s="42"/>
      <c r="U60" s="42"/>
      <c r="V60" s="42"/>
      <c r="W60" s="42"/>
      <c r="X60" s="42"/>
      <c r="Y60" s="42"/>
      <c r="Z60" s="42"/>
    </row>
    <row r="61" spans="1:26" ht="15.75" customHeight="1" x14ac:dyDescent="0.25">
      <c r="A61" s="95" t="s">
        <v>215</v>
      </c>
      <c r="B61" s="107">
        <v>390000</v>
      </c>
      <c r="C61" s="107">
        <v>370000</v>
      </c>
      <c r="D61" s="107">
        <f>B61-E61</f>
        <v>120000</v>
      </c>
      <c r="E61" s="107">
        <v>270000</v>
      </c>
      <c r="F61" s="104" t="s">
        <v>216</v>
      </c>
      <c r="G61" s="98" t="s">
        <v>88</v>
      </c>
      <c r="H61" s="99" t="s">
        <v>89</v>
      </c>
      <c r="I61" s="108" t="s">
        <v>90</v>
      </c>
      <c r="J61" s="101" t="s">
        <v>91</v>
      </c>
      <c r="K61" s="100"/>
      <c r="L61" s="100"/>
      <c r="M61" s="100"/>
      <c r="N61" s="100"/>
      <c r="O61" s="102"/>
      <c r="P61" s="103"/>
      <c r="Q61" s="103"/>
      <c r="R61" s="103"/>
      <c r="S61" s="103"/>
      <c r="T61" s="103"/>
      <c r="U61" s="103"/>
      <c r="V61" s="103"/>
      <c r="W61" s="103"/>
      <c r="X61" s="103"/>
      <c r="Y61" s="103"/>
      <c r="Z61" s="103"/>
    </row>
    <row r="62" spans="1:26" ht="15.75" customHeight="1" x14ac:dyDescent="0.25">
      <c r="A62" s="92" t="s">
        <v>217</v>
      </c>
      <c r="B62" s="93">
        <v>200000</v>
      </c>
      <c r="C62" s="93">
        <v>94500</v>
      </c>
      <c r="D62" s="93">
        <v>100000</v>
      </c>
      <c r="E62" s="93">
        <v>100000</v>
      </c>
      <c r="F62" s="88" t="s">
        <v>218</v>
      </c>
      <c r="G62" s="89" t="s">
        <v>69</v>
      </c>
      <c r="H62" s="90" t="s">
        <v>69</v>
      </c>
      <c r="I62" s="91"/>
      <c r="J62" s="105" t="s">
        <v>69</v>
      </c>
      <c r="K62" s="91"/>
      <c r="L62" s="91"/>
      <c r="M62" s="91"/>
      <c r="N62" s="91"/>
      <c r="O62" s="79"/>
      <c r="P62" s="42"/>
      <c r="Q62" s="42"/>
      <c r="R62" s="42"/>
      <c r="S62" s="42"/>
      <c r="T62" s="42"/>
      <c r="U62" s="42"/>
      <c r="V62" s="42"/>
      <c r="W62" s="42"/>
      <c r="X62" s="42"/>
      <c r="Y62" s="42"/>
      <c r="Z62" s="42"/>
    </row>
    <row r="63" spans="1:26" ht="15.75" customHeight="1" x14ac:dyDescent="0.25">
      <c r="A63" s="92" t="s">
        <v>219</v>
      </c>
      <c r="B63" s="93">
        <v>150000</v>
      </c>
      <c r="C63" s="93">
        <v>94500</v>
      </c>
      <c r="D63" s="93">
        <v>90000</v>
      </c>
      <c r="E63" s="93">
        <v>60000</v>
      </c>
      <c r="F63" s="88" t="s">
        <v>220</v>
      </c>
      <c r="G63" s="89" t="s">
        <v>69</v>
      </c>
      <c r="H63" s="90" t="s">
        <v>69</v>
      </c>
      <c r="I63" s="91"/>
      <c r="J63" s="105" t="s">
        <v>69</v>
      </c>
      <c r="K63" s="91"/>
      <c r="L63" s="91"/>
      <c r="M63" s="91"/>
      <c r="N63" s="91"/>
      <c r="O63" s="79"/>
      <c r="P63" s="42"/>
      <c r="Q63" s="42"/>
      <c r="R63" s="42"/>
      <c r="S63" s="42"/>
      <c r="T63" s="42"/>
      <c r="U63" s="42"/>
      <c r="V63" s="42"/>
      <c r="W63" s="42"/>
      <c r="X63" s="42"/>
      <c r="Y63" s="42"/>
      <c r="Z63" s="42"/>
    </row>
    <row r="64" spans="1:26" ht="15.75" customHeight="1" x14ac:dyDescent="0.25">
      <c r="A64" s="92" t="s">
        <v>221</v>
      </c>
      <c r="B64" s="93">
        <v>250000</v>
      </c>
      <c r="C64" s="93">
        <v>300000</v>
      </c>
      <c r="D64" s="93">
        <v>50000</v>
      </c>
      <c r="E64" s="93">
        <v>200000</v>
      </c>
      <c r="F64" s="88" t="s">
        <v>222</v>
      </c>
      <c r="G64" s="89" t="s">
        <v>69</v>
      </c>
      <c r="H64" s="90" t="s">
        <v>69</v>
      </c>
      <c r="I64" s="91"/>
      <c r="J64" s="105" t="s">
        <v>69</v>
      </c>
      <c r="K64" s="91"/>
      <c r="L64" s="91"/>
      <c r="M64" s="91"/>
      <c r="N64" s="91"/>
      <c r="O64" s="79"/>
      <c r="P64" s="42"/>
      <c r="Q64" s="42"/>
      <c r="R64" s="42"/>
      <c r="S64" s="42"/>
      <c r="T64" s="42"/>
      <c r="U64" s="42"/>
      <c r="V64" s="42"/>
      <c r="W64" s="42"/>
      <c r="X64" s="42"/>
      <c r="Y64" s="42"/>
      <c r="Z64" s="42"/>
    </row>
    <row r="65" spans="1:26" ht="15.75" customHeight="1" x14ac:dyDescent="0.25">
      <c r="A65" s="92" t="s">
        <v>223</v>
      </c>
      <c r="B65" s="93">
        <v>0</v>
      </c>
      <c r="C65" s="93">
        <v>300000</v>
      </c>
      <c r="D65" s="93">
        <v>-250000</v>
      </c>
      <c r="E65" s="93">
        <v>250000</v>
      </c>
      <c r="F65" s="88" t="s">
        <v>224</v>
      </c>
      <c r="G65" s="89" t="s">
        <v>69</v>
      </c>
      <c r="H65" s="90" t="s">
        <v>69</v>
      </c>
      <c r="I65" s="91"/>
      <c r="J65" s="105" t="s">
        <v>69</v>
      </c>
      <c r="K65" s="91"/>
      <c r="L65" s="91"/>
      <c r="M65" s="91"/>
      <c r="N65" s="91"/>
      <c r="O65" s="79"/>
      <c r="P65" s="42"/>
      <c r="Q65" s="42"/>
      <c r="R65" s="42"/>
      <c r="S65" s="42"/>
      <c r="T65" s="42"/>
      <c r="U65" s="42"/>
      <c r="V65" s="42"/>
      <c r="W65" s="42"/>
      <c r="X65" s="42"/>
      <c r="Y65" s="42"/>
      <c r="Z65" s="42"/>
    </row>
    <row r="66" spans="1:26" ht="15.75" customHeight="1" x14ac:dyDescent="0.25">
      <c r="A66" s="113" t="s">
        <v>10</v>
      </c>
      <c r="B66" s="114">
        <v>450000</v>
      </c>
      <c r="C66" s="114">
        <v>310000</v>
      </c>
      <c r="D66" s="114">
        <f t="shared" ref="D66:D71" si="4">B66-E66</f>
        <v>100000</v>
      </c>
      <c r="E66" s="114">
        <v>350000</v>
      </c>
      <c r="F66" s="115" t="s">
        <v>225</v>
      </c>
      <c r="G66" s="116" t="s">
        <v>226</v>
      </c>
      <c r="H66" s="117">
        <f t="shared" ref="H66:H67" si="5">29000+5500</f>
        <v>34500</v>
      </c>
      <c r="I66" s="81" t="s">
        <v>227</v>
      </c>
      <c r="J66" s="118" t="s">
        <v>142</v>
      </c>
      <c r="K66" s="120"/>
      <c r="L66" s="120"/>
      <c r="M66" s="120"/>
      <c r="N66" s="120"/>
      <c r="O66" s="82"/>
      <c r="P66" s="121"/>
      <c r="Q66" s="121"/>
      <c r="R66" s="121"/>
      <c r="S66" s="121"/>
      <c r="T66" s="121"/>
      <c r="U66" s="121"/>
      <c r="V66" s="121"/>
      <c r="W66" s="121"/>
      <c r="X66" s="121"/>
      <c r="Y66" s="121"/>
      <c r="Z66" s="121"/>
    </row>
    <row r="67" spans="1:26" ht="15.75" customHeight="1" x14ac:dyDescent="0.25">
      <c r="A67" s="113" t="s">
        <v>228</v>
      </c>
      <c r="B67" s="114">
        <v>370000</v>
      </c>
      <c r="C67" s="114">
        <v>280000</v>
      </c>
      <c r="D67" s="114">
        <f t="shared" si="4"/>
        <v>140000</v>
      </c>
      <c r="E67" s="114">
        <v>230000</v>
      </c>
      <c r="F67" s="115" t="s">
        <v>229</v>
      </c>
      <c r="G67" s="116" t="s">
        <v>226</v>
      </c>
      <c r="H67" s="117">
        <f t="shared" si="5"/>
        <v>34500</v>
      </c>
      <c r="I67" s="81" t="s">
        <v>227</v>
      </c>
      <c r="J67" s="118" t="s">
        <v>142</v>
      </c>
      <c r="K67" s="120"/>
      <c r="L67" s="120"/>
      <c r="M67" s="120"/>
      <c r="N67" s="120"/>
      <c r="O67" s="82"/>
      <c r="P67" s="121"/>
      <c r="Q67" s="121"/>
      <c r="R67" s="121"/>
      <c r="S67" s="121"/>
      <c r="T67" s="121"/>
      <c r="U67" s="121"/>
      <c r="V67" s="121"/>
      <c r="W67" s="121"/>
      <c r="X67" s="121"/>
      <c r="Y67" s="121"/>
      <c r="Z67" s="121"/>
    </row>
    <row r="68" spans="1:26" ht="15.75" customHeight="1" x14ac:dyDescent="0.25">
      <c r="A68" s="136" t="s">
        <v>230</v>
      </c>
      <c r="B68" s="137">
        <v>420000</v>
      </c>
      <c r="C68" s="137">
        <v>380000</v>
      </c>
      <c r="D68" s="137">
        <f t="shared" si="4"/>
        <v>140000</v>
      </c>
      <c r="E68" s="137">
        <v>280000</v>
      </c>
      <c r="F68" s="138" t="s">
        <v>231</v>
      </c>
      <c r="G68" s="139" t="s">
        <v>226</v>
      </c>
      <c r="H68" s="140" t="s">
        <v>167</v>
      </c>
      <c r="I68" s="141" t="s">
        <v>232</v>
      </c>
      <c r="J68" s="142" t="s">
        <v>152</v>
      </c>
      <c r="K68" s="143"/>
      <c r="L68" s="143"/>
      <c r="M68" s="143"/>
      <c r="N68" s="143"/>
      <c r="O68" s="144"/>
      <c r="P68" s="109"/>
      <c r="Q68" s="109"/>
      <c r="R68" s="109"/>
      <c r="S68" s="109"/>
      <c r="T68" s="109"/>
      <c r="U68" s="109"/>
      <c r="V68" s="109"/>
      <c r="W68" s="109"/>
      <c r="X68" s="109"/>
      <c r="Y68" s="109"/>
      <c r="Z68" s="109"/>
    </row>
    <row r="69" spans="1:26" ht="15.75" customHeight="1" x14ac:dyDescent="0.25">
      <c r="A69" s="145" t="s">
        <v>233</v>
      </c>
      <c r="B69" s="146">
        <v>320000</v>
      </c>
      <c r="C69" s="146">
        <v>260000</v>
      </c>
      <c r="D69" s="146">
        <f t="shared" si="4"/>
        <v>120000</v>
      </c>
      <c r="E69" s="146">
        <v>200000</v>
      </c>
      <c r="F69" s="147" t="s">
        <v>234</v>
      </c>
      <c r="G69" s="148" t="s">
        <v>226</v>
      </c>
      <c r="H69" s="140" t="s">
        <v>167</v>
      </c>
      <c r="I69" s="141" t="s">
        <v>232</v>
      </c>
      <c r="J69" s="149" t="s">
        <v>152</v>
      </c>
      <c r="K69" s="83"/>
      <c r="L69" s="83"/>
      <c r="M69" s="83"/>
      <c r="N69" s="83"/>
      <c r="O69" s="150"/>
      <c r="P69" s="151"/>
      <c r="Q69" s="151"/>
      <c r="R69" s="151"/>
      <c r="S69" s="151"/>
      <c r="T69" s="151"/>
      <c r="U69" s="151"/>
      <c r="V69" s="151"/>
      <c r="W69" s="151"/>
      <c r="X69" s="151"/>
      <c r="Y69" s="151"/>
      <c r="Z69" s="151"/>
    </row>
    <row r="70" spans="1:26" ht="15.75" customHeight="1" x14ac:dyDescent="0.25">
      <c r="A70" s="145" t="s">
        <v>235</v>
      </c>
      <c r="B70" s="146">
        <v>500000</v>
      </c>
      <c r="C70" s="146">
        <v>300000</v>
      </c>
      <c r="D70" s="146">
        <f t="shared" si="4"/>
        <v>140000</v>
      </c>
      <c r="E70" s="146">
        <v>360000</v>
      </c>
      <c r="F70" s="147" t="s">
        <v>236</v>
      </c>
      <c r="G70" s="148" t="s">
        <v>237</v>
      </c>
      <c r="H70" s="152" t="s">
        <v>69</v>
      </c>
      <c r="I70" s="83"/>
      <c r="J70" s="149" t="s">
        <v>96</v>
      </c>
      <c r="K70" s="83"/>
      <c r="L70" s="83"/>
      <c r="M70" s="83"/>
      <c r="N70" s="83"/>
      <c r="O70" s="150"/>
      <c r="P70" s="151"/>
      <c r="Q70" s="151"/>
      <c r="R70" s="151"/>
      <c r="S70" s="151"/>
      <c r="T70" s="151"/>
      <c r="U70" s="151"/>
      <c r="V70" s="151"/>
      <c r="W70" s="151"/>
      <c r="X70" s="151"/>
      <c r="Y70" s="151"/>
      <c r="Z70" s="151"/>
    </row>
    <row r="71" spans="1:26" ht="15.75" customHeight="1" x14ac:dyDescent="0.25">
      <c r="A71" s="113" t="s">
        <v>238</v>
      </c>
      <c r="B71" s="114">
        <v>400000</v>
      </c>
      <c r="C71" s="114">
        <v>260000</v>
      </c>
      <c r="D71" s="114">
        <f t="shared" si="4"/>
        <v>70000</v>
      </c>
      <c r="E71" s="114">
        <v>330000</v>
      </c>
      <c r="F71" s="115" t="s">
        <v>239</v>
      </c>
      <c r="G71" s="116" t="s">
        <v>237</v>
      </c>
      <c r="H71" s="117" t="s">
        <v>69</v>
      </c>
      <c r="I71" s="120"/>
      <c r="J71" s="118" t="s">
        <v>96</v>
      </c>
      <c r="K71" s="120"/>
      <c r="L71" s="120"/>
      <c r="M71" s="120"/>
      <c r="N71" s="120"/>
      <c r="O71" s="82"/>
      <c r="P71" s="121"/>
      <c r="Q71" s="121"/>
      <c r="R71" s="121"/>
      <c r="S71" s="121"/>
      <c r="T71" s="121"/>
      <c r="U71" s="121"/>
      <c r="V71" s="121"/>
      <c r="W71" s="121"/>
      <c r="X71" s="121"/>
      <c r="Y71" s="121"/>
      <c r="Z71" s="121"/>
    </row>
    <row r="72" spans="1:26" ht="15.75" hidden="1" customHeight="1" x14ac:dyDescent="0.25">
      <c r="A72" s="92" t="s">
        <v>240</v>
      </c>
      <c r="B72" s="93">
        <v>380000</v>
      </c>
      <c r="C72" s="93">
        <v>260000</v>
      </c>
      <c r="D72" s="93">
        <v>90000</v>
      </c>
      <c r="E72" s="93">
        <v>290000</v>
      </c>
      <c r="F72" s="88" t="s">
        <v>241</v>
      </c>
      <c r="G72" s="89" t="s">
        <v>242</v>
      </c>
      <c r="H72" s="90" t="s">
        <v>69</v>
      </c>
      <c r="I72" s="91"/>
      <c r="J72" s="105" t="s">
        <v>142</v>
      </c>
      <c r="K72" s="91"/>
      <c r="L72" s="91"/>
      <c r="M72" s="91"/>
      <c r="N72" s="91"/>
      <c r="O72" s="79"/>
      <c r="P72" s="110"/>
      <c r="Q72" s="110"/>
      <c r="R72" s="110"/>
      <c r="S72" s="110"/>
      <c r="T72" s="110"/>
      <c r="U72" s="110"/>
      <c r="V72" s="110"/>
      <c r="W72" s="110"/>
      <c r="X72" s="110"/>
      <c r="Y72" s="110"/>
      <c r="Z72" s="110"/>
    </row>
    <row r="73" spans="1:26" ht="15.75" customHeight="1" x14ac:dyDescent="0.25">
      <c r="A73" s="92" t="s">
        <v>243</v>
      </c>
      <c r="B73" s="93">
        <v>250000</v>
      </c>
      <c r="C73" s="93">
        <v>300000</v>
      </c>
      <c r="D73" s="93">
        <f t="shared" ref="D73:D74" si="6">B73-E73</f>
        <v>41000</v>
      </c>
      <c r="E73" s="93">
        <v>209000</v>
      </c>
      <c r="F73" s="88" t="s">
        <v>244</v>
      </c>
      <c r="G73" s="89" t="s">
        <v>237</v>
      </c>
      <c r="H73" s="90" t="s">
        <v>69</v>
      </c>
      <c r="I73" s="91"/>
      <c r="J73" s="105" t="s">
        <v>96</v>
      </c>
      <c r="K73" s="91"/>
      <c r="L73" s="91"/>
      <c r="M73" s="91"/>
      <c r="N73" s="91"/>
      <c r="O73" s="79"/>
      <c r="P73" s="110"/>
      <c r="Q73" s="110"/>
      <c r="R73" s="110"/>
      <c r="S73" s="110"/>
      <c r="T73" s="110"/>
      <c r="U73" s="110"/>
      <c r="V73" s="110"/>
      <c r="W73" s="110"/>
      <c r="X73" s="110"/>
      <c r="Y73" s="110"/>
      <c r="Z73" s="110"/>
    </row>
    <row r="74" spans="1:26" ht="15.75" customHeight="1" x14ac:dyDescent="0.25">
      <c r="A74" s="145" t="s">
        <v>245</v>
      </c>
      <c r="B74" s="146">
        <v>490000</v>
      </c>
      <c r="C74" s="146">
        <v>350000</v>
      </c>
      <c r="D74" s="146">
        <f t="shared" si="6"/>
        <v>140000</v>
      </c>
      <c r="E74" s="146">
        <v>350000</v>
      </c>
      <c r="F74" s="147" t="s">
        <v>246</v>
      </c>
      <c r="G74" s="148" t="s">
        <v>242</v>
      </c>
      <c r="H74" s="152" t="s">
        <v>69</v>
      </c>
      <c r="I74" s="83"/>
      <c r="J74" s="149" t="s">
        <v>247</v>
      </c>
      <c r="K74" s="83"/>
      <c r="L74" s="83"/>
      <c r="M74" s="83"/>
      <c r="N74" s="83"/>
      <c r="O74" s="150"/>
      <c r="P74" s="151"/>
      <c r="Q74" s="151"/>
      <c r="R74" s="151"/>
      <c r="S74" s="151"/>
      <c r="T74" s="151"/>
      <c r="U74" s="151"/>
      <c r="V74" s="151"/>
      <c r="W74" s="151"/>
      <c r="X74" s="151"/>
      <c r="Y74" s="151"/>
      <c r="Z74" s="151"/>
    </row>
    <row r="75" spans="1:26" ht="15.75" customHeight="1" x14ac:dyDescent="0.25">
      <c r="A75" s="92" t="s">
        <v>248</v>
      </c>
      <c r="B75" s="93">
        <v>330000</v>
      </c>
      <c r="C75" s="93">
        <v>260000</v>
      </c>
      <c r="D75" s="93">
        <v>200000</v>
      </c>
      <c r="E75" s="93">
        <v>130000</v>
      </c>
      <c r="F75" s="88" t="s">
        <v>249</v>
      </c>
      <c r="G75" s="89" t="s">
        <v>69</v>
      </c>
      <c r="H75" s="90" t="s">
        <v>69</v>
      </c>
      <c r="I75" s="91"/>
      <c r="J75" s="91"/>
      <c r="K75" s="91"/>
      <c r="L75" s="91"/>
      <c r="M75" s="91"/>
      <c r="N75" s="91"/>
      <c r="O75" s="79"/>
      <c r="P75" s="42"/>
      <c r="Q75" s="42"/>
      <c r="R75" s="42"/>
      <c r="S75" s="42"/>
      <c r="T75" s="42"/>
      <c r="U75" s="42"/>
      <c r="V75" s="42"/>
      <c r="W75" s="42"/>
      <c r="X75" s="42"/>
      <c r="Y75" s="42"/>
      <c r="Z75" s="42"/>
    </row>
    <row r="76" spans="1:26" ht="15.75" hidden="1" customHeight="1" x14ac:dyDescent="0.25">
      <c r="A76" s="92" t="s">
        <v>250</v>
      </c>
      <c r="B76" s="93">
        <v>500000</v>
      </c>
      <c r="C76" s="93">
        <v>260000</v>
      </c>
      <c r="D76" s="93">
        <v>240000</v>
      </c>
      <c r="E76" s="93">
        <v>260000</v>
      </c>
      <c r="F76" s="88" t="s">
        <v>251</v>
      </c>
      <c r="G76" s="89" t="s">
        <v>252</v>
      </c>
      <c r="H76" s="90" t="s">
        <v>69</v>
      </c>
      <c r="I76" s="91"/>
      <c r="J76" s="91"/>
      <c r="K76" s="91"/>
      <c r="L76" s="91"/>
      <c r="M76" s="91"/>
      <c r="N76" s="91"/>
      <c r="O76" s="79"/>
      <c r="P76" s="42"/>
      <c r="Q76" s="42"/>
      <c r="R76" s="42"/>
      <c r="S76" s="42"/>
      <c r="T76" s="42"/>
      <c r="U76" s="42"/>
      <c r="V76" s="42"/>
      <c r="W76" s="42"/>
      <c r="X76" s="42"/>
      <c r="Y76" s="42"/>
      <c r="Z76" s="42"/>
    </row>
    <row r="77" spans="1:26" ht="15.75" hidden="1" customHeight="1" x14ac:dyDescent="0.25">
      <c r="A77" s="92" t="s">
        <v>253</v>
      </c>
      <c r="B77" s="93">
        <v>330000</v>
      </c>
      <c r="C77" s="93">
        <v>260000</v>
      </c>
      <c r="D77" s="93">
        <v>330000</v>
      </c>
      <c r="E77" s="93">
        <v>0</v>
      </c>
      <c r="F77" s="88" t="s">
        <v>254</v>
      </c>
      <c r="G77" s="89" t="s">
        <v>255</v>
      </c>
      <c r="H77" s="90" t="s">
        <v>69</v>
      </c>
      <c r="I77" s="91"/>
      <c r="J77" s="91"/>
      <c r="K77" s="91"/>
      <c r="L77" s="91"/>
      <c r="M77" s="91"/>
      <c r="N77" s="91"/>
      <c r="O77" s="79"/>
      <c r="P77" s="42"/>
      <c r="Q77" s="42"/>
      <c r="R77" s="42"/>
      <c r="S77" s="42"/>
      <c r="T77" s="42"/>
      <c r="U77" s="42"/>
      <c r="V77" s="42"/>
      <c r="W77" s="42"/>
      <c r="X77" s="42"/>
      <c r="Y77" s="42"/>
      <c r="Z77" s="42"/>
    </row>
    <row r="78" spans="1:26" ht="15.75" hidden="1" customHeight="1" x14ac:dyDescent="0.25">
      <c r="A78" s="92" t="s">
        <v>256</v>
      </c>
      <c r="B78" s="93">
        <v>0</v>
      </c>
      <c r="C78" s="93">
        <v>260000</v>
      </c>
      <c r="D78" s="93">
        <v>0</v>
      </c>
      <c r="E78" s="93">
        <v>0</v>
      </c>
      <c r="F78" s="88" t="s">
        <v>257</v>
      </c>
      <c r="G78" s="89" t="s">
        <v>69</v>
      </c>
      <c r="H78" s="90" t="s">
        <v>69</v>
      </c>
      <c r="I78" s="91"/>
      <c r="J78" s="91"/>
      <c r="K78" s="91"/>
      <c r="L78" s="91"/>
      <c r="M78" s="91"/>
      <c r="N78" s="91"/>
      <c r="O78" s="79"/>
      <c r="P78" s="42"/>
      <c r="Q78" s="42"/>
      <c r="R78" s="42"/>
      <c r="S78" s="42"/>
      <c r="T78" s="42"/>
      <c r="U78" s="42"/>
      <c r="V78" s="42"/>
      <c r="W78" s="42"/>
      <c r="X78" s="42"/>
      <c r="Y78" s="42"/>
      <c r="Z78" s="42"/>
    </row>
    <row r="79" spans="1:26" ht="15.75" customHeight="1" x14ac:dyDescent="0.25">
      <c r="A79" s="92" t="s">
        <v>258</v>
      </c>
      <c r="B79" s="93">
        <v>0</v>
      </c>
      <c r="C79" s="93">
        <v>260000</v>
      </c>
      <c r="D79" s="93">
        <v>0</v>
      </c>
      <c r="E79" s="93">
        <v>0</v>
      </c>
      <c r="F79" s="88" t="s">
        <v>259</v>
      </c>
      <c r="G79" s="89" t="s">
        <v>255</v>
      </c>
      <c r="H79" s="90" t="s">
        <v>69</v>
      </c>
      <c r="I79" s="91"/>
      <c r="J79" s="91"/>
      <c r="K79" s="91"/>
      <c r="L79" s="91"/>
      <c r="M79" s="91"/>
      <c r="N79" s="91"/>
      <c r="O79" s="79"/>
      <c r="P79" s="42"/>
      <c r="Q79" s="42"/>
      <c r="R79" s="42"/>
      <c r="S79" s="42"/>
      <c r="T79" s="42"/>
      <c r="U79" s="42"/>
      <c r="V79" s="42"/>
      <c r="W79" s="42"/>
      <c r="X79" s="42"/>
      <c r="Y79" s="42"/>
      <c r="Z79" s="42"/>
    </row>
    <row r="80" spans="1:26" ht="15.75" hidden="1" customHeight="1" x14ac:dyDescent="0.25">
      <c r="A80" s="92" t="s">
        <v>260</v>
      </c>
      <c r="B80" s="93">
        <v>350000</v>
      </c>
      <c r="C80" s="93">
        <v>260000</v>
      </c>
      <c r="D80" s="93">
        <v>145000</v>
      </c>
      <c r="E80" s="93">
        <v>205000</v>
      </c>
      <c r="F80" s="88" t="s">
        <v>261</v>
      </c>
      <c r="G80" s="89" t="s">
        <v>255</v>
      </c>
      <c r="H80" s="90" t="s">
        <v>69</v>
      </c>
      <c r="I80" s="91"/>
      <c r="J80" s="91"/>
      <c r="K80" s="91"/>
      <c r="L80" s="91"/>
      <c r="M80" s="91"/>
      <c r="N80" s="91"/>
      <c r="O80" s="79"/>
      <c r="P80" s="42"/>
      <c r="Q80" s="42"/>
      <c r="R80" s="42"/>
      <c r="S80" s="42"/>
      <c r="T80" s="42"/>
      <c r="U80" s="42"/>
      <c r="V80" s="42"/>
      <c r="W80" s="42"/>
      <c r="X80" s="42"/>
      <c r="Y80" s="42"/>
      <c r="Z80" s="42"/>
    </row>
    <row r="81" spans="1:26" ht="15.75" hidden="1" customHeight="1" x14ac:dyDescent="0.25">
      <c r="A81" s="92" t="s">
        <v>262</v>
      </c>
      <c r="B81" s="93">
        <v>1100000</v>
      </c>
      <c r="C81" s="93">
        <v>60000</v>
      </c>
      <c r="D81" s="93">
        <v>1100000</v>
      </c>
      <c r="E81" s="93">
        <v>0</v>
      </c>
      <c r="F81" s="88" t="s">
        <v>263</v>
      </c>
      <c r="G81" s="89" t="s">
        <v>263</v>
      </c>
      <c r="H81" s="90" t="s">
        <v>69</v>
      </c>
      <c r="I81" s="91"/>
      <c r="J81" s="91"/>
      <c r="K81" s="91"/>
      <c r="L81" s="91"/>
      <c r="M81" s="91"/>
      <c r="N81" s="91"/>
      <c r="O81" s="79"/>
      <c r="P81" s="42"/>
      <c r="Q81" s="42"/>
      <c r="R81" s="42"/>
      <c r="S81" s="42"/>
      <c r="T81" s="42"/>
      <c r="U81" s="42"/>
      <c r="V81" s="42"/>
      <c r="W81" s="42"/>
      <c r="X81" s="42"/>
      <c r="Y81" s="42"/>
      <c r="Z81" s="42"/>
    </row>
    <row r="82" spans="1:26" ht="15.75" customHeight="1" x14ac:dyDescent="0.25">
      <c r="A82" s="92" t="s">
        <v>264</v>
      </c>
      <c r="B82" s="93">
        <v>700000</v>
      </c>
      <c r="C82" s="93">
        <v>0</v>
      </c>
      <c r="D82" s="93">
        <v>700000</v>
      </c>
      <c r="E82" s="93">
        <v>0</v>
      </c>
      <c r="F82" s="88" t="s">
        <v>263</v>
      </c>
      <c r="G82" s="89" t="s">
        <v>263</v>
      </c>
      <c r="H82" s="90" t="s">
        <v>69</v>
      </c>
      <c r="I82" s="91"/>
      <c r="J82" s="91"/>
      <c r="K82" s="91"/>
      <c r="L82" s="91"/>
      <c r="M82" s="91"/>
      <c r="N82" s="91"/>
      <c r="O82" s="79"/>
      <c r="P82" s="109"/>
      <c r="Q82" s="109"/>
      <c r="R82" s="109"/>
      <c r="S82" s="109"/>
      <c r="T82" s="109"/>
      <c r="U82" s="109"/>
      <c r="V82" s="109"/>
      <c r="W82" s="109"/>
      <c r="X82" s="109"/>
      <c r="Y82" s="109"/>
      <c r="Z82" s="109"/>
    </row>
    <row r="83" spans="1:26" ht="15.75" customHeight="1" x14ac:dyDescent="0.25">
      <c r="A83" s="153" t="s">
        <v>265</v>
      </c>
      <c r="B83" s="154">
        <v>150000</v>
      </c>
      <c r="C83" s="154">
        <v>94500</v>
      </c>
      <c r="D83" s="154">
        <f t="shared" ref="D83:D85" si="7">B83-E83</f>
        <v>95000</v>
      </c>
      <c r="E83" s="154">
        <v>55000</v>
      </c>
      <c r="F83" s="155" t="s">
        <v>266</v>
      </c>
      <c r="G83" s="122" t="s">
        <v>267</v>
      </c>
      <c r="H83" s="123" t="s">
        <v>115</v>
      </c>
      <c r="I83" s="124" t="s">
        <v>268</v>
      </c>
      <c r="J83" s="125" t="s">
        <v>269</v>
      </c>
      <c r="K83" s="156"/>
      <c r="L83" s="156"/>
      <c r="M83" s="156"/>
      <c r="N83" s="156"/>
      <c r="O83" s="157"/>
      <c r="P83" s="158"/>
      <c r="Q83" s="158"/>
      <c r="R83" s="158"/>
      <c r="S83" s="158"/>
      <c r="T83" s="158"/>
      <c r="U83" s="158"/>
      <c r="V83" s="158"/>
      <c r="W83" s="158"/>
      <c r="X83" s="158"/>
      <c r="Y83" s="158"/>
      <c r="Z83" s="158"/>
    </row>
    <row r="84" spans="1:26" ht="15.75" customHeight="1" x14ac:dyDescent="0.25">
      <c r="A84" s="153" t="s">
        <v>270</v>
      </c>
      <c r="B84" s="154">
        <v>230000</v>
      </c>
      <c r="C84" s="154">
        <v>94500</v>
      </c>
      <c r="D84" s="154">
        <f t="shared" si="7"/>
        <v>120000</v>
      </c>
      <c r="E84" s="154">
        <v>110000</v>
      </c>
      <c r="F84" s="155" t="s">
        <v>271</v>
      </c>
      <c r="G84" s="122" t="s">
        <v>267</v>
      </c>
      <c r="H84" s="123" t="s">
        <v>115</v>
      </c>
      <c r="I84" s="124" t="s">
        <v>268</v>
      </c>
      <c r="J84" s="125" t="s">
        <v>269</v>
      </c>
      <c r="K84" s="156"/>
      <c r="L84" s="156"/>
      <c r="M84" s="156"/>
      <c r="N84" s="156"/>
      <c r="O84" s="157"/>
      <c r="P84" s="158"/>
      <c r="Q84" s="158"/>
      <c r="R84" s="158"/>
      <c r="S84" s="158"/>
      <c r="T84" s="158"/>
      <c r="U84" s="158"/>
      <c r="V84" s="158"/>
      <c r="W84" s="158"/>
      <c r="X84" s="158"/>
      <c r="Y84" s="158"/>
      <c r="Z84" s="158"/>
    </row>
    <row r="85" spans="1:26" ht="15.75" customHeight="1" x14ac:dyDescent="0.25">
      <c r="A85" s="95" t="s">
        <v>272</v>
      </c>
      <c r="B85" s="96">
        <v>440000</v>
      </c>
      <c r="C85" s="96">
        <v>300000</v>
      </c>
      <c r="D85" s="96">
        <f t="shared" si="7"/>
        <v>110000</v>
      </c>
      <c r="E85" s="96">
        <v>330000</v>
      </c>
      <c r="F85" s="104" t="s">
        <v>273</v>
      </c>
      <c r="G85" s="98" t="s">
        <v>274</v>
      </c>
      <c r="H85" s="99" t="s">
        <v>89</v>
      </c>
      <c r="I85" s="108" t="s">
        <v>90</v>
      </c>
      <c r="J85" s="101" t="s">
        <v>247</v>
      </c>
      <c r="K85" s="100"/>
      <c r="L85" s="100"/>
      <c r="M85" s="100"/>
      <c r="N85" s="100"/>
      <c r="O85" s="102"/>
      <c r="P85" s="103"/>
      <c r="Q85" s="103"/>
      <c r="R85" s="103"/>
      <c r="S85" s="103"/>
      <c r="T85" s="103"/>
      <c r="U85" s="103"/>
      <c r="V85" s="103"/>
      <c r="W85" s="103"/>
      <c r="X85" s="103"/>
      <c r="Y85" s="103"/>
      <c r="Z85" s="103"/>
    </row>
    <row r="86" spans="1:26" ht="15.75" hidden="1" customHeight="1" x14ac:dyDescent="0.25">
      <c r="A86" s="92" t="s">
        <v>275</v>
      </c>
      <c r="B86" s="93">
        <v>160000</v>
      </c>
      <c r="C86" s="93">
        <v>0</v>
      </c>
      <c r="D86" s="93">
        <v>160000</v>
      </c>
      <c r="E86" s="93">
        <v>0</v>
      </c>
      <c r="F86" s="88" t="s">
        <v>276</v>
      </c>
      <c r="G86" s="89" t="s">
        <v>277</v>
      </c>
      <c r="H86" s="90" t="s">
        <v>69</v>
      </c>
      <c r="I86" s="91"/>
      <c r="J86" s="91"/>
      <c r="K86" s="91"/>
      <c r="L86" s="91"/>
      <c r="M86" s="91"/>
      <c r="N86" s="91"/>
      <c r="O86" s="79"/>
      <c r="P86" s="42"/>
      <c r="Q86" s="42"/>
      <c r="R86" s="42"/>
      <c r="S86" s="42"/>
      <c r="T86" s="42"/>
      <c r="U86" s="42"/>
      <c r="V86" s="42"/>
      <c r="W86" s="42"/>
      <c r="X86" s="42"/>
      <c r="Y86" s="42"/>
      <c r="Z86" s="42"/>
    </row>
    <row r="87" spans="1:26" ht="15.75" hidden="1" customHeight="1" x14ac:dyDescent="0.25">
      <c r="A87" s="92" t="s">
        <v>278</v>
      </c>
      <c r="B87" s="93">
        <v>160000</v>
      </c>
      <c r="C87" s="93">
        <v>0</v>
      </c>
      <c r="D87" s="93">
        <v>0</v>
      </c>
      <c r="E87" s="93">
        <v>0</v>
      </c>
      <c r="F87" s="88" t="s">
        <v>279</v>
      </c>
      <c r="G87" s="89" t="s">
        <v>280</v>
      </c>
      <c r="H87" s="90" t="s">
        <v>69</v>
      </c>
      <c r="I87" s="91"/>
      <c r="J87" s="91"/>
      <c r="K87" s="91"/>
      <c r="L87" s="91"/>
      <c r="M87" s="91"/>
      <c r="N87" s="91"/>
      <c r="O87" s="79"/>
      <c r="P87" s="42"/>
      <c r="Q87" s="42"/>
      <c r="R87" s="42"/>
      <c r="S87" s="42"/>
      <c r="T87" s="42"/>
      <c r="U87" s="42"/>
      <c r="V87" s="42"/>
      <c r="W87" s="42"/>
      <c r="X87" s="42"/>
      <c r="Y87" s="42"/>
      <c r="Z87" s="42"/>
    </row>
    <row r="88" spans="1:26" ht="15.75" hidden="1" customHeight="1" x14ac:dyDescent="0.25">
      <c r="A88" s="92" t="s">
        <v>281</v>
      </c>
      <c r="B88" s="93">
        <v>1850000</v>
      </c>
      <c r="C88" s="93">
        <v>300000</v>
      </c>
      <c r="D88" s="93">
        <v>725000</v>
      </c>
      <c r="E88" s="93">
        <v>1125000</v>
      </c>
      <c r="F88" s="88" t="s">
        <v>282</v>
      </c>
      <c r="G88" s="89" t="s">
        <v>283</v>
      </c>
      <c r="H88" s="90" t="s">
        <v>284</v>
      </c>
      <c r="I88" s="91"/>
      <c r="J88" s="91"/>
      <c r="K88" s="91"/>
      <c r="L88" s="91"/>
      <c r="M88" s="91"/>
      <c r="N88" s="91"/>
      <c r="O88" s="79"/>
      <c r="P88" s="42"/>
      <c r="Q88" s="42"/>
      <c r="R88" s="42"/>
      <c r="S88" s="42"/>
      <c r="T88" s="42"/>
      <c r="U88" s="42"/>
      <c r="V88" s="42"/>
      <c r="W88" s="42"/>
      <c r="X88" s="42"/>
      <c r="Y88" s="42"/>
      <c r="Z88" s="42"/>
    </row>
    <row r="89" spans="1:26" ht="15.75" hidden="1" customHeight="1" x14ac:dyDescent="0.25">
      <c r="A89" s="92" t="s">
        <v>285</v>
      </c>
      <c r="B89" s="93">
        <v>200000</v>
      </c>
      <c r="C89" s="93">
        <v>140000</v>
      </c>
      <c r="D89" s="93">
        <v>100000</v>
      </c>
      <c r="E89" s="93">
        <v>100000</v>
      </c>
      <c r="F89" s="88" t="s">
        <v>286</v>
      </c>
      <c r="G89" s="89" t="s">
        <v>287</v>
      </c>
      <c r="H89" s="90" t="s">
        <v>69</v>
      </c>
      <c r="I89" s="91"/>
      <c r="J89" s="91"/>
      <c r="K89" s="91"/>
      <c r="L89" s="91"/>
      <c r="M89" s="91"/>
      <c r="N89" s="91"/>
      <c r="O89" s="79"/>
      <c r="P89" s="42"/>
      <c r="Q89" s="42"/>
      <c r="R89" s="42"/>
      <c r="S89" s="42"/>
      <c r="T89" s="42"/>
      <c r="U89" s="42"/>
      <c r="V89" s="42"/>
      <c r="W89" s="42"/>
      <c r="X89" s="42"/>
      <c r="Y89" s="42"/>
      <c r="Z89" s="42"/>
    </row>
    <row r="90" spans="1:26" ht="15.75" hidden="1" customHeight="1" x14ac:dyDescent="0.25">
      <c r="A90" s="92" t="s">
        <v>288</v>
      </c>
      <c r="B90" s="93">
        <v>440000</v>
      </c>
      <c r="C90" s="93">
        <v>375000</v>
      </c>
      <c r="D90" s="93">
        <v>65000</v>
      </c>
      <c r="E90" s="93">
        <v>375000</v>
      </c>
      <c r="F90" s="88" t="s">
        <v>289</v>
      </c>
      <c r="G90" s="89" t="s">
        <v>290</v>
      </c>
      <c r="H90" s="90" t="s">
        <v>69</v>
      </c>
      <c r="I90" s="91"/>
      <c r="J90" s="91"/>
      <c r="K90" s="91"/>
      <c r="L90" s="91"/>
      <c r="M90" s="91"/>
      <c r="N90" s="91"/>
      <c r="O90" s="79"/>
      <c r="P90" s="42"/>
      <c r="Q90" s="42"/>
      <c r="R90" s="42"/>
      <c r="S90" s="42"/>
      <c r="T90" s="42"/>
      <c r="U90" s="42"/>
      <c r="V90" s="42"/>
      <c r="W90" s="42"/>
      <c r="X90" s="42"/>
      <c r="Y90" s="42"/>
      <c r="Z90" s="42"/>
    </row>
    <row r="91" spans="1:26" ht="15.75" hidden="1" customHeight="1" x14ac:dyDescent="0.25">
      <c r="A91" s="92" t="s">
        <v>291</v>
      </c>
      <c r="B91" s="93">
        <v>360000</v>
      </c>
      <c r="C91" s="93">
        <v>375000</v>
      </c>
      <c r="D91" s="93">
        <v>172500</v>
      </c>
      <c r="E91" s="93">
        <v>187500</v>
      </c>
      <c r="F91" s="88" t="s">
        <v>292</v>
      </c>
      <c r="G91" s="89" t="s">
        <v>290</v>
      </c>
      <c r="H91" s="90" t="s">
        <v>69</v>
      </c>
      <c r="I91" s="91"/>
      <c r="J91" s="91"/>
      <c r="K91" s="91"/>
      <c r="L91" s="91"/>
      <c r="M91" s="91"/>
      <c r="N91" s="91"/>
      <c r="O91" s="79"/>
      <c r="P91" s="42"/>
      <c r="Q91" s="42"/>
      <c r="R91" s="42"/>
      <c r="S91" s="42"/>
      <c r="T91" s="42"/>
      <c r="U91" s="42"/>
      <c r="V91" s="42"/>
      <c r="W91" s="42"/>
      <c r="X91" s="42"/>
      <c r="Y91" s="42"/>
      <c r="Z91" s="42"/>
    </row>
    <row r="92" spans="1:26" ht="15.75" customHeight="1" x14ac:dyDescent="0.25">
      <c r="A92" s="92" t="s">
        <v>293</v>
      </c>
      <c r="B92" s="93">
        <v>130000</v>
      </c>
      <c r="C92" s="93">
        <v>60000</v>
      </c>
      <c r="D92" s="93">
        <v>130000</v>
      </c>
      <c r="E92" s="93">
        <v>0</v>
      </c>
      <c r="F92" s="88" t="s">
        <v>294</v>
      </c>
      <c r="G92" s="89" t="s">
        <v>295</v>
      </c>
      <c r="H92" s="90" t="s">
        <v>69</v>
      </c>
      <c r="I92" s="91"/>
      <c r="J92" s="91"/>
      <c r="K92" s="91"/>
      <c r="L92" s="91"/>
      <c r="M92" s="91"/>
      <c r="N92" s="91"/>
      <c r="O92" s="79"/>
      <c r="P92" s="109"/>
      <c r="Q92" s="109"/>
      <c r="R92" s="109"/>
      <c r="S92" s="109"/>
      <c r="T92" s="109"/>
      <c r="U92" s="109"/>
      <c r="V92" s="109"/>
      <c r="W92" s="109"/>
      <c r="X92" s="109"/>
      <c r="Y92" s="109"/>
      <c r="Z92" s="109"/>
    </row>
    <row r="93" spans="1:26" ht="15.75" customHeight="1" x14ac:dyDescent="0.25">
      <c r="A93" s="92" t="s">
        <v>296</v>
      </c>
      <c r="B93" s="93">
        <v>240000</v>
      </c>
      <c r="C93" s="93">
        <v>90000</v>
      </c>
      <c r="D93" s="93">
        <v>240000</v>
      </c>
      <c r="E93" s="93">
        <v>0</v>
      </c>
      <c r="F93" s="88" t="s">
        <v>294</v>
      </c>
      <c r="G93" s="89" t="s">
        <v>295</v>
      </c>
      <c r="H93" s="90" t="s">
        <v>69</v>
      </c>
      <c r="I93" s="91"/>
      <c r="J93" s="91"/>
      <c r="K93" s="91"/>
      <c r="L93" s="91"/>
      <c r="M93" s="91"/>
      <c r="N93" s="91"/>
      <c r="O93" s="79"/>
      <c r="P93" s="109"/>
      <c r="Q93" s="109"/>
      <c r="R93" s="109"/>
      <c r="S93" s="109"/>
      <c r="T93" s="109"/>
      <c r="U93" s="109"/>
      <c r="V93" s="109"/>
      <c r="W93" s="109"/>
      <c r="X93" s="109"/>
      <c r="Y93" s="109"/>
      <c r="Z93" s="109"/>
    </row>
    <row r="94" spans="1:26" ht="15.75" customHeight="1" x14ac:dyDescent="0.25">
      <c r="A94" s="92" t="s">
        <v>297</v>
      </c>
      <c r="B94" s="93">
        <v>260000</v>
      </c>
      <c r="C94" s="93">
        <v>110000</v>
      </c>
      <c r="D94" s="93">
        <v>260000</v>
      </c>
      <c r="E94" s="93">
        <v>0</v>
      </c>
      <c r="F94" s="88" t="s">
        <v>294</v>
      </c>
      <c r="G94" s="89" t="s">
        <v>295</v>
      </c>
      <c r="H94" s="90" t="s">
        <v>69</v>
      </c>
      <c r="I94" s="91"/>
      <c r="J94" s="91"/>
      <c r="K94" s="91"/>
      <c r="L94" s="91"/>
      <c r="M94" s="91"/>
      <c r="N94" s="91"/>
      <c r="O94" s="79"/>
      <c r="P94" s="42"/>
      <c r="Q94" s="42"/>
      <c r="R94" s="42"/>
      <c r="S94" s="42"/>
      <c r="T94" s="42"/>
      <c r="U94" s="42"/>
      <c r="V94" s="42"/>
      <c r="W94" s="42"/>
      <c r="X94" s="42"/>
      <c r="Y94" s="42"/>
      <c r="Z94" s="42"/>
    </row>
    <row r="95" spans="1:26" ht="15.75" customHeight="1" x14ac:dyDescent="0.25">
      <c r="A95" s="92" t="s">
        <v>298</v>
      </c>
      <c r="B95" s="93">
        <v>400000</v>
      </c>
      <c r="C95" s="93">
        <v>110000</v>
      </c>
      <c r="D95" s="93">
        <v>0</v>
      </c>
      <c r="E95" s="93">
        <v>0</v>
      </c>
      <c r="F95" s="88" t="s">
        <v>294</v>
      </c>
      <c r="G95" s="89" t="s">
        <v>295</v>
      </c>
      <c r="H95" s="90" t="s">
        <v>69</v>
      </c>
      <c r="I95" s="91"/>
      <c r="J95" s="91"/>
      <c r="K95" s="91"/>
      <c r="L95" s="91"/>
      <c r="M95" s="91"/>
      <c r="N95" s="91"/>
      <c r="O95" s="79"/>
      <c r="P95" s="42"/>
      <c r="Q95" s="42"/>
      <c r="R95" s="42"/>
      <c r="S95" s="42"/>
      <c r="T95" s="42"/>
      <c r="U95" s="42"/>
      <c r="V95" s="42"/>
      <c r="W95" s="42"/>
      <c r="X95" s="42"/>
      <c r="Y95" s="42"/>
      <c r="Z95" s="42"/>
    </row>
    <row r="96" spans="1:26" ht="15.75" customHeight="1" x14ac:dyDescent="0.25">
      <c r="A96" s="92" t="s">
        <v>299</v>
      </c>
      <c r="B96" s="93">
        <v>0</v>
      </c>
      <c r="C96" s="93">
        <v>110000</v>
      </c>
      <c r="D96" s="93">
        <v>0</v>
      </c>
      <c r="E96" s="93">
        <v>0</v>
      </c>
      <c r="F96" s="88" t="s">
        <v>300</v>
      </c>
      <c r="G96" s="88" t="s">
        <v>301</v>
      </c>
      <c r="H96" s="90" t="s">
        <v>69</v>
      </c>
      <c r="I96" s="91"/>
      <c r="J96" s="91"/>
      <c r="K96" s="91"/>
      <c r="L96" s="91"/>
      <c r="M96" s="91"/>
      <c r="N96" s="91"/>
      <c r="O96" s="79"/>
      <c r="P96" s="42"/>
      <c r="Q96" s="42"/>
      <c r="R96" s="42"/>
      <c r="S96" s="42"/>
      <c r="T96" s="42"/>
      <c r="U96" s="42"/>
      <c r="V96" s="42"/>
      <c r="W96" s="42"/>
      <c r="X96" s="42"/>
      <c r="Y96" s="42"/>
      <c r="Z96" s="42"/>
    </row>
    <row r="97" spans="1:26" ht="15.75" customHeight="1" x14ac:dyDescent="0.25">
      <c r="A97" s="92" t="s">
        <v>302</v>
      </c>
      <c r="B97" s="93">
        <v>600000</v>
      </c>
      <c r="C97" s="93">
        <v>110000</v>
      </c>
      <c r="D97" s="93">
        <v>600000</v>
      </c>
      <c r="E97" s="93">
        <v>0</v>
      </c>
      <c r="F97" s="88" t="s">
        <v>300</v>
      </c>
      <c r="G97" s="89" t="s">
        <v>303</v>
      </c>
      <c r="H97" s="90" t="s">
        <v>69</v>
      </c>
      <c r="I97" s="91"/>
      <c r="J97" s="91"/>
      <c r="K97" s="91"/>
      <c r="L97" s="91"/>
      <c r="M97" s="91"/>
      <c r="N97" s="91"/>
      <c r="O97" s="79"/>
      <c r="P97" s="109"/>
      <c r="Q97" s="109"/>
      <c r="R97" s="109"/>
      <c r="S97" s="109"/>
      <c r="T97" s="109"/>
      <c r="U97" s="109"/>
      <c r="V97" s="109"/>
      <c r="W97" s="109"/>
      <c r="X97" s="109"/>
      <c r="Y97" s="109"/>
      <c r="Z97" s="109"/>
    </row>
    <row r="98" spans="1:26" ht="15.75" customHeight="1" x14ac:dyDescent="0.25">
      <c r="A98" s="92" t="s">
        <v>304</v>
      </c>
      <c r="B98" s="93">
        <v>0</v>
      </c>
      <c r="C98" s="93">
        <v>110000</v>
      </c>
      <c r="D98" s="93">
        <v>0</v>
      </c>
      <c r="E98" s="93">
        <v>0</v>
      </c>
      <c r="F98" s="88" t="s">
        <v>300</v>
      </c>
      <c r="G98" s="89" t="s">
        <v>303</v>
      </c>
      <c r="H98" s="90" t="s">
        <v>69</v>
      </c>
      <c r="I98" s="91"/>
      <c r="J98" s="91"/>
      <c r="K98" s="91"/>
      <c r="L98" s="91"/>
      <c r="M98" s="91"/>
      <c r="N98" s="91"/>
      <c r="O98" s="79"/>
      <c r="P98" s="109"/>
      <c r="Q98" s="109"/>
      <c r="R98" s="109"/>
      <c r="S98" s="109"/>
      <c r="T98" s="109"/>
      <c r="U98" s="109"/>
      <c r="V98" s="109"/>
      <c r="W98" s="109"/>
      <c r="X98" s="109"/>
      <c r="Y98" s="109"/>
      <c r="Z98" s="109"/>
    </row>
    <row r="99" spans="1:26" ht="15.75" customHeight="1" x14ac:dyDescent="0.25">
      <c r="A99" s="92" t="s">
        <v>305</v>
      </c>
      <c r="B99" s="93">
        <v>130000</v>
      </c>
      <c r="C99" s="93">
        <v>60000</v>
      </c>
      <c r="D99" s="93">
        <v>130000</v>
      </c>
      <c r="E99" s="93">
        <v>0</v>
      </c>
      <c r="F99" s="88" t="s">
        <v>300</v>
      </c>
      <c r="G99" s="89" t="s">
        <v>303</v>
      </c>
      <c r="H99" s="90" t="s">
        <v>69</v>
      </c>
      <c r="I99" s="91"/>
      <c r="J99" s="91"/>
      <c r="K99" s="91"/>
      <c r="L99" s="91"/>
      <c r="M99" s="91"/>
      <c r="N99" s="91"/>
      <c r="O99" s="79"/>
      <c r="P99" s="109"/>
      <c r="Q99" s="109"/>
      <c r="R99" s="109"/>
      <c r="S99" s="109"/>
      <c r="T99" s="109"/>
      <c r="U99" s="109"/>
      <c r="V99" s="109"/>
      <c r="W99" s="109"/>
      <c r="X99" s="109"/>
      <c r="Y99" s="109"/>
      <c r="Z99" s="109"/>
    </row>
    <row r="100" spans="1:26" ht="15.75" customHeight="1" x14ac:dyDescent="0.25">
      <c r="A100" s="92" t="s">
        <v>306</v>
      </c>
      <c r="B100" s="93">
        <v>240000</v>
      </c>
      <c r="C100" s="93">
        <v>90000</v>
      </c>
      <c r="D100" s="93">
        <v>240000</v>
      </c>
      <c r="E100" s="93">
        <v>0</v>
      </c>
      <c r="F100" s="88" t="s">
        <v>300</v>
      </c>
      <c r="G100" s="89" t="s">
        <v>303</v>
      </c>
      <c r="H100" s="90" t="s">
        <v>69</v>
      </c>
      <c r="I100" s="91"/>
      <c r="J100" s="91"/>
      <c r="K100" s="91"/>
      <c r="L100" s="91"/>
      <c r="M100" s="91"/>
      <c r="N100" s="91"/>
      <c r="O100" s="79"/>
      <c r="P100" s="42"/>
      <c r="Q100" s="42"/>
      <c r="R100" s="42"/>
      <c r="S100" s="42"/>
      <c r="T100" s="42"/>
      <c r="U100" s="42"/>
      <c r="V100" s="42"/>
      <c r="W100" s="42"/>
      <c r="X100" s="42"/>
      <c r="Y100" s="42"/>
      <c r="Z100" s="42"/>
    </row>
    <row r="101" spans="1:26" ht="15.75" customHeight="1" x14ac:dyDescent="0.25">
      <c r="A101" s="92" t="s">
        <v>307</v>
      </c>
      <c r="B101" s="93">
        <v>260000</v>
      </c>
      <c r="C101" s="93">
        <v>110000</v>
      </c>
      <c r="D101" s="93">
        <v>260000</v>
      </c>
      <c r="E101" s="93">
        <v>0</v>
      </c>
      <c r="F101" s="88" t="s">
        <v>300</v>
      </c>
      <c r="G101" s="89" t="s">
        <v>303</v>
      </c>
      <c r="H101" s="90" t="s">
        <v>69</v>
      </c>
      <c r="I101" s="91"/>
      <c r="J101" s="91"/>
      <c r="K101" s="91"/>
      <c r="L101" s="91"/>
      <c r="M101" s="91"/>
      <c r="N101" s="91"/>
      <c r="O101" s="79"/>
      <c r="P101" s="109"/>
      <c r="Q101" s="109"/>
      <c r="R101" s="109"/>
      <c r="S101" s="109"/>
      <c r="T101" s="109"/>
      <c r="U101" s="109"/>
      <c r="V101" s="109"/>
      <c r="W101" s="109"/>
      <c r="X101" s="109"/>
      <c r="Y101" s="109"/>
      <c r="Z101" s="109"/>
    </row>
    <row r="102" spans="1:26" ht="15.75" hidden="1" customHeight="1" x14ac:dyDescent="0.25">
      <c r="A102" s="92" t="s">
        <v>308</v>
      </c>
      <c r="B102" s="93">
        <v>400000</v>
      </c>
      <c r="C102" s="93">
        <v>110000</v>
      </c>
      <c r="D102" s="93">
        <v>0</v>
      </c>
      <c r="E102" s="93">
        <v>0</v>
      </c>
      <c r="F102" s="88" t="s">
        <v>300</v>
      </c>
      <c r="G102" s="88" t="s">
        <v>300</v>
      </c>
      <c r="H102" s="90" t="s">
        <v>69</v>
      </c>
      <c r="I102" s="91"/>
      <c r="J102" s="91"/>
      <c r="K102" s="91"/>
      <c r="L102" s="91"/>
      <c r="M102" s="91"/>
      <c r="N102" s="91"/>
      <c r="O102" s="79"/>
      <c r="P102" s="42"/>
      <c r="Q102" s="42"/>
      <c r="R102" s="42"/>
      <c r="S102" s="42"/>
      <c r="T102" s="42"/>
      <c r="U102" s="42"/>
      <c r="V102" s="42"/>
      <c r="W102" s="42"/>
      <c r="X102" s="42"/>
      <c r="Y102" s="42"/>
      <c r="Z102" s="42"/>
    </row>
    <row r="103" spans="1:26" ht="15.75" hidden="1" customHeight="1" x14ac:dyDescent="0.25">
      <c r="A103" s="92" t="s">
        <v>309</v>
      </c>
      <c r="B103" s="93">
        <v>580000</v>
      </c>
      <c r="C103" s="93">
        <v>300000</v>
      </c>
      <c r="D103" s="93">
        <v>580000</v>
      </c>
      <c r="E103" s="93">
        <v>0</v>
      </c>
      <c r="F103" s="88" t="s">
        <v>310</v>
      </c>
      <c r="G103" s="89" t="s">
        <v>311</v>
      </c>
      <c r="H103" s="90" t="s">
        <v>69</v>
      </c>
      <c r="I103" s="91"/>
      <c r="J103" s="91"/>
      <c r="K103" s="91"/>
      <c r="L103" s="91"/>
      <c r="M103" s="91"/>
      <c r="N103" s="91"/>
      <c r="O103" s="79"/>
      <c r="P103" s="42"/>
      <c r="Q103" s="42"/>
      <c r="R103" s="42"/>
      <c r="S103" s="42"/>
      <c r="T103" s="42"/>
      <c r="U103" s="42"/>
      <c r="V103" s="42"/>
      <c r="W103" s="42"/>
      <c r="X103" s="42"/>
      <c r="Y103" s="42"/>
      <c r="Z103" s="42"/>
    </row>
    <row r="104" spans="1:26" ht="15.75" hidden="1" customHeight="1" x14ac:dyDescent="0.25">
      <c r="A104" s="92" t="s">
        <v>312</v>
      </c>
      <c r="B104" s="93">
        <v>0</v>
      </c>
      <c r="C104" s="93">
        <v>800000</v>
      </c>
      <c r="D104" s="93">
        <v>0</v>
      </c>
      <c r="E104" s="93">
        <v>0</v>
      </c>
      <c r="F104" s="88" t="s">
        <v>310</v>
      </c>
      <c r="G104" s="89" t="s">
        <v>311</v>
      </c>
      <c r="H104" s="90" t="s">
        <v>69</v>
      </c>
      <c r="I104" s="91"/>
      <c r="J104" s="91"/>
      <c r="K104" s="91"/>
      <c r="L104" s="91"/>
      <c r="M104" s="91"/>
      <c r="N104" s="91"/>
      <c r="O104" s="79"/>
      <c r="P104" s="42"/>
      <c r="Q104" s="42"/>
      <c r="R104" s="42"/>
      <c r="S104" s="42"/>
      <c r="T104" s="42"/>
      <c r="U104" s="42"/>
      <c r="V104" s="42"/>
      <c r="W104" s="42"/>
      <c r="X104" s="42"/>
      <c r="Y104" s="42"/>
      <c r="Z104" s="42"/>
    </row>
    <row r="105" spans="1:26" ht="15.75" hidden="1" customHeight="1" x14ac:dyDescent="0.25">
      <c r="A105" s="92" t="s">
        <v>313</v>
      </c>
      <c r="B105" s="93">
        <v>780000</v>
      </c>
      <c r="C105" s="93">
        <v>450000</v>
      </c>
      <c r="D105" s="93">
        <v>780000</v>
      </c>
      <c r="E105" s="93">
        <v>0</v>
      </c>
      <c r="F105" s="88" t="s">
        <v>310</v>
      </c>
      <c r="G105" s="89" t="s">
        <v>311</v>
      </c>
      <c r="H105" s="90" t="s">
        <v>69</v>
      </c>
      <c r="I105" s="91"/>
      <c r="J105" s="91"/>
      <c r="K105" s="91"/>
      <c r="L105" s="91"/>
      <c r="M105" s="91"/>
      <c r="N105" s="91"/>
      <c r="O105" s="79"/>
      <c r="P105" s="42"/>
      <c r="Q105" s="42"/>
      <c r="R105" s="42"/>
      <c r="S105" s="42"/>
      <c r="T105" s="42"/>
      <c r="U105" s="42"/>
      <c r="V105" s="42"/>
      <c r="W105" s="42"/>
      <c r="X105" s="42"/>
      <c r="Y105" s="42"/>
      <c r="Z105" s="42"/>
    </row>
    <row r="106" spans="1:26" ht="15.75" hidden="1" customHeight="1" x14ac:dyDescent="0.25">
      <c r="A106" s="92" t="s">
        <v>314</v>
      </c>
      <c r="B106" s="93">
        <v>900000</v>
      </c>
      <c r="C106" s="93">
        <v>500000</v>
      </c>
      <c r="D106" s="93">
        <v>900000</v>
      </c>
      <c r="E106" s="93">
        <v>0</v>
      </c>
      <c r="F106" s="88" t="s">
        <v>310</v>
      </c>
      <c r="G106" s="88" t="s">
        <v>311</v>
      </c>
      <c r="H106" s="90" t="s">
        <v>69</v>
      </c>
      <c r="I106" s="91"/>
      <c r="J106" s="91"/>
      <c r="K106" s="91"/>
      <c r="L106" s="91"/>
      <c r="M106" s="91"/>
      <c r="N106" s="91"/>
      <c r="O106" s="79"/>
      <c r="P106" s="42"/>
      <c r="Q106" s="42"/>
      <c r="R106" s="42"/>
      <c r="S106" s="42"/>
      <c r="T106" s="42"/>
      <c r="U106" s="42"/>
      <c r="V106" s="42"/>
      <c r="W106" s="42"/>
      <c r="X106" s="42"/>
      <c r="Y106" s="42"/>
      <c r="Z106" s="42"/>
    </row>
    <row r="107" spans="1:26" ht="50.25" customHeight="1" x14ac:dyDescent="0.25">
      <c r="A107" s="92" t="s">
        <v>315</v>
      </c>
      <c r="B107" s="93">
        <v>0</v>
      </c>
      <c r="C107" s="93">
        <v>600000</v>
      </c>
      <c r="D107" s="93">
        <v>0</v>
      </c>
      <c r="E107" s="93">
        <v>0</v>
      </c>
      <c r="F107" s="88" t="s">
        <v>310</v>
      </c>
      <c r="G107" s="89" t="s">
        <v>303</v>
      </c>
      <c r="H107" s="90" t="s">
        <v>69</v>
      </c>
      <c r="I107" s="91"/>
      <c r="J107" s="105" t="s">
        <v>247</v>
      </c>
      <c r="K107" s="91"/>
      <c r="L107" s="91"/>
      <c r="M107" s="91"/>
      <c r="N107" s="91"/>
      <c r="O107" s="79"/>
      <c r="P107" s="42"/>
      <c r="Q107" s="42"/>
      <c r="R107" s="42"/>
      <c r="S107" s="42"/>
      <c r="T107" s="42"/>
      <c r="U107" s="42"/>
      <c r="V107" s="42"/>
      <c r="W107" s="42"/>
      <c r="X107" s="42"/>
      <c r="Y107" s="42"/>
      <c r="Z107" s="42"/>
    </row>
    <row r="108" spans="1:26" ht="15.75" customHeight="1" x14ac:dyDescent="0.25">
      <c r="A108" s="92" t="s">
        <v>316</v>
      </c>
      <c r="B108" s="93">
        <v>480000</v>
      </c>
      <c r="C108" s="93">
        <v>110000</v>
      </c>
      <c r="D108" s="93">
        <v>480000</v>
      </c>
      <c r="E108" s="93">
        <v>0</v>
      </c>
      <c r="F108" s="88" t="s">
        <v>317</v>
      </c>
      <c r="G108" s="89" t="s">
        <v>318</v>
      </c>
      <c r="H108" s="90" t="s">
        <v>69</v>
      </c>
      <c r="I108" s="91"/>
      <c r="J108" s="91"/>
      <c r="K108" s="91"/>
      <c r="L108" s="91"/>
      <c r="M108" s="91"/>
      <c r="N108" s="91"/>
      <c r="O108" s="79"/>
      <c r="P108" s="42"/>
      <c r="Q108" s="42"/>
      <c r="R108" s="42"/>
      <c r="S108" s="42"/>
      <c r="T108" s="42"/>
      <c r="U108" s="42"/>
      <c r="V108" s="42"/>
      <c r="W108" s="42"/>
      <c r="X108" s="42"/>
      <c r="Y108" s="42"/>
      <c r="Z108" s="42"/>
    </row>
    <row r="109" spans="1:26" ht="15.75" customHeight="1" x14ac:dyDescent="0.25">
      <c r="A109" s="92" t="s">
        <v>319</v>
      </c>
      <c r="B109" s="93">
        <v>0</v>
      </c>
      <c r="C109" s="93">
        <v>110000</v>
      </c>
      <c r="D109" s="93">
        <v>0</v>
      </c>
      <c r="E109" s="93">
        <v>0</v>
      </c>
      <c r="F109" s="88" t="s">
        <v>317</v>
      </c>
      <c r="G109" s="89" t="s">
        <v>318</v>
      </c>
      <c r="H109" s="90" t="s">
        <v>69</v>
      </c>
      <c r="I109" s="91"/>
      <c r="J109" s="91"/>
      <c r="K109" s="91"/>
      <c r="L109" s="91"/>
      <c r="M109" s="91"/>
      <c r="N109" s="91"/>
      <c r="O109" s="79"/>
      <c r="P109" s="42"/>
      <c r="Q109" s="42"/>
      <c r="R109" s="42"/>
      <c r="S109" s="42"/>
      <c r="T109" s="42"/>
      <c r="U109" s="42"/>
      <c r="V109" s="42"/>
      <c r="W109" s="42"/>
      <c r="X109" s="42"/>
      <c r="Y109" s="42"/>
      <c r="Z109" s="42"/>
    </row>
    <row r="110" spans="1:26" ht="15.75" customHeight="1" x14ac:dyDescent="0.25">
      <c r="A110" s="92" t="s">
        <v>320</v>
      </c>
      <c r="B110" s="93">
        <v>0</v>
      </c>
      <c r="C110" s="93">
        <v>110000</v>
      </c>
      <c r="D110" s="93">
        <v>0</v>
      </c>
      <c r="E110" s="93">
        <v>0</v>
      </c>
      <c r="F110" s="88" t="s">
        <v>317</v>
      </c>
      <c r="G110" s="89" t="s">
        <v>318</v>
      </c>
      <c r="H110" s="90" t="s">
        <v>69</v>
      </c>
      <c r="I110" s="91"/>
      <c r="J110" s="91"/>
      <c r="K110" s="91"/>
      <c r="L110" s="91"/>
      <c r="M110" s="91"/>
      <c r="N110" s="91"/>
      <c r="O110" s="79"/>
      <c r="P110" s="109"/>
      <c r="Q110" s="109"/>
      <c r="R110" s="109"/>
      <c r="S110" s="109"/>
      <c r="T110" s="109"/>
      <c r="U110" s="109"/>
      <c r="V110" s="109"/>
      <c r="W110" s="109"/>
      <c r="X110" s="109"/>
      <c r="Y110" s="109"/>
      <c r="Z110" s="109"/>
    </row>
    <row r="111" spans="1:26" ht="15.75" customHeight="1" x14ac:dyDescent="0.25">
      <c r="A111" s="92" t="s">
        <v>321</v>
      </c>
      <c r="B111" s="93">
        <v>480000</v>
      </c>
      <c r="C111" s="93">
        <v>110000</v>
      </c>
      <c r="D111" s="93">
        <v>480000</v>
      </c>
      <c r="E111" s="93">
        <v>0</v>
      </c>
      <c r="F111" s="88" t="s">
        <v>317</v>
      </c>
      <c r="G111" s="89" t="s">
        <v>318</v>
      </c>
      <c r="H111" s="90" t="s">
        <v>69</v>
      </c>
      <c r="I111" s="91"/>
      <c r="J111" s="91"/>
      <c r="K111" s="91"/>
      <c r="L111" s="91"/>
      <c r="M111" s="91"/>
      <c r="N111" s="91"/>
      <c r="O111" s="79"/>
      <c r="P111" s="109"/>
      <c r="Q111" s="109"/>
      <c r="R111" s="109"/>
      <c r="S111" s="109"/>
      <c r="T111" s="109"/>
      <c r="U111" s="109"/>
      <c r="V111" s="109"/>
      <c r="W111" s="109"/>
      <c r="X111" s="109"/>
      <c r="Y111" s="109"/>
      <c r="Z111" s="109"/>
    </row>
    <row r="112" spans="1:26" ht="15.75" customHeight="1" x14ac:dyDescent="0.25">
      <c r="A112" s="92" t="s">
        <v>322</v>
      </c>
      <c r="B112" s="159">
        <v>300000</v>
      </c>
      <c r="C112" s="159">
        <v>0</v>
      </c>
      <c r="D112" s="93">
        <v>300000</v>
      </c>
      <c r="E112" s="159">
        <v>0</v>
      </c>
      <c r="F112" s="88" t="s">
        <v>323</v>
      </c>
      <c r="G112" s="89" t="s">
        <v>324</v>
      </c>
      <c r="H112" s="90" t="s">
        <v>69</v>
      </c>
      <c r="I112" s="42"/>
      <c r="J112" s="105" t="s">
        <v>325</v>
      </c>
      <c r="K112" s="91"/>
      <c r="L112" s="91"/>
      <c r="M112" s="91"/>
      <c r="N112" s="91"/>
      <c r="O112" s="79"/>
      <c r="P112" s="42"/>
      <c r="Q112" s="42"/>
      <c r="R112" s="42"/>
      <c r="S112" s="42"/>
      <c r="T112" s="42"/>
      <c r="U112" s="42"/>
      <c r="V112" s="42"/>
      <c r="W112" s="42"/>
      <c r="X112" s="42"/>
      <c r="Y112" s="42"/>
      <c r="Z112" s="42"/>
    </row>
    <row r="113" spans="1:26" ht="15.75" customHeight="1" x14ac:dyDescent="0.25">
      <c r="A113" s="92" t="s">
        <v>326</v>
      </c>
      <c r="B113" s="159">
        <v>0</v>
      </c>
      <c r="C113" s="159">
        <v>0</v>
      </c>
      <c r="D113" s="93">
        <v>0</v>
      </c>
      <c r="E113" s="159">
        <v>0</v>
      </c>
      <c r="F113" s="88" t="s">
        <v>327</v>
      </c>
      <c r="G113" s="89" t="s">
        <v>324</v>
      </c>
      <c r="H113" s="90" t="s">
        <v>69</v>
      </c>
      <c r="I113" s="42"/>
      <c r="J113" s="105" t="s">
        <v>328</v>
      </c>
      <c r="K113" s="91"/>
      <c r="L113" s="91"/>
      <c r="M113" s="91"/>
      <c r="N113" s="91"/>
      <c r="O113" s="79"/>
      <c r="P113" s="42"/>
      <c r="Q113" s="42"/>
      <c r="R113" s="42"/>
      <c r="S113" s="42"/>
      <c r="T113" s="42"/>
      <c r="U113" s="42"/>
      <c r="V113" s="42"/>
      <c r="W113" s="42"/>
      <c r="X113" s="42"/>
      <c r="Y113" s="42"/>
      <c r="Z113" s="42"/>
    </row>
    <row r="114" spans="1:26" ht="15.75" customHeight="1" x14ac:dyDescent="0.25">
      <c r="A114" s="92" t="s">
        <v>329</v>
      </c>
      <c r="B114" s="159">
        <v>300000</v>
      </c>
      <c r="C114" s="159">
        <v>0</v>
      </c>
      <c r="D114" s="93">
        <v>300000</v>
      </c>
      <c r="E114" s="159">
        <v>0</v>
      </c>
      <c r="F114" s="88" t="s">
        <v>327</v>
      </c>
      <c r="G114" s="89" t="s">
        <v>324</v>
      </c>
      <c r="H114" s="90" t="s">
        <v>69</v>
      </c>
      <c r="I114" s="42"/>
      <c r="J114" s="105" t="s">
        <v>328</v>
      </c>
      <c r="K114" s="91"/>
      <c r="L114" s="91"/>
      <c r="M114" s="91"/>
      <c r="N114" s="91"/>
      <c r="O114" s="79"/>
      <c r="P114" s="109"/>
      <c r="Q114" s="109"/>
      <c r="R114" s="109"/>
      <c r="S114" s="109"/>
      <c r="T114" s="109"/>
      <c r="U114" s="109"/>
      <c r="V114" s="109"/>
      <c r="W114" s="109"/>
      <c r="X114" s="109"/>
      <c r="Y114" s="109"/>
      <c r="Z114" s="109"/>
    </row>
    <row r="115" spans="1:26" ht="15.75" customHeight="1" x14ac:dyDescent="0.25">
      <c r="A115" s="92" t="s">
        <v>8</v>
      </c>
      <c r="B115" s="159">
        <v>500000</v>
      </c>
      <c r="C115" s="159">
        <v>0</v>
      </c>
      <c r="D115" s="112"/>
      <c r="E115" s="159">
        <v>500000</v>
      </c>
      <c r="F115" s="88" t="s">
        <v>327</v>
      </c>
      <c r="G115" s="89" t="s">
        <v>324</v>
      </c>
      <c r="H115" s="90" t="s">
        <v>69</v>
      </c>
      <c r="I115" s="42"/>
      <c r="J115" s="105" t="s">
        <v>328</v>
      </c>
      <c r="K115" s="91"/>
      <c r="L115" s="91"/>
      <c r="M115" s="91"/>
      <c r="N115" s="91"/>
      <c r="O115" s="79"/>
      <c r="P115" s="109"/>
      <c r="Q115" s="109"/>
      <c r="R115" s="109"/>
      <c r="S115" s="109"/>
      <c r="T115" s="109"/>
      <c r="U115" s="109"/>
      <c r="V115" s="109"/>
      <c r="W115" s="109"/>
      <c r="X115" s="109"/>
      <c r="Y115" s="109"/>
      <c r="Z115" s="109"/>
    </row>
    <row r="116" spans="1:26" ht="15.75" customHeight="1" x14ac:dyDescent="0.25">
      <c r="A116" s="92" t="s">
        <v>330</v>
      </c>
      <c r="B116" s="159">
        <v>325000</v>
      </c>
      <c r="C116" s="159">
        <v>0</v>
      </c>
      <c r="D116" s="93">
        <v>325000</v>
      </c>
      <c r="E116" s="159">
        <v>0</v>
      </c>
      <c r="F116" s="88" t="s">
        <v>327</v>
      </c>
      <c r="G116" s="89" t="s">
        <v>324</v>
      </c>
      <c r="H116" s="90" t="s">
        <v>69</v>
      </c>
      <c r="I116" s="42"/>
      <c r="J116" s="105" t="s">
        <v>328</v>
      </c>
      <c r="K116" s="91"/>
      <c r="L116" s="91"/>
      <c r="M116" s="91"/>
      <c r="N116" s="91"/>
      <c r="O116" s="79"/>
      <c r="P116" s="42"/>
      <c r="Q116" s="42"/>
      <c r="R116" s="42"/>
      <c r="S116" s="42"/>
      <c r="T116" s="42"/>
      <c r="U116" s="42"/>
      <c r="V116" s="42"/>
      <c r="W116" s="42"/>
      <c r="X116" s="42"/>
      <c r="Y116" s="42"/>
      <c r="Z116" s="42"/>
    </row>
    <row r="117" spans="1:26" ht="15.75" customHeight="1" x14ac:dyDescent="0.25">
      <c r="A117" s="92" t="s">
        <v>331</v>
      </c>
      <c r="B117" s="159">
        <v>300000</v>
      </c>
      <c r="C117" s="159">
        <v>0</v>
      </c>
      <c r="D117" s="93">
        <v>300000</v>
      </c>
      <c r="E117" s="159">
        <v>0</v>
      </c>
      <c r="F117" s="88" t="s">
        <v>332</v>
      </c>
      <c r="G117" s="89" t="s">
        <v>324</v>
      </c>
      <c r="H117" s="90" t="s">
        <v>69</v>
      </c>
      <c r="I117" s="42"/>
      <c r="J117" s="105" t="s">
        <v>325</v>
      </c>
      <c r="K117" s="91"/>
      <c r="L117" s="91"/>
      <c r="M117" s="91"/>
      <c r="N117" s="91"/>
      <c r="O117" s="79"/>
      <c r="P117" s="42"/>
      <c r="Q117" s="42"/>
      <c r="R117" s="42"/>
      <c r="S117" s="42"/>
      <c r="T117" s="42"/>
      <c r="U117" s="42"/>
      <c r="V117" s="42"/>
      <c r="W117" s="42"/>
      <c r="X117" s="42"/>
      <c r="Y117" s="42"/>
      <c r="Z117" s="42"/>
    </row>
    <row r="118" spans="1:26" ht="15.75" customHeight="1" x14ac:dyDescent="0.25">
      <c r="A118" s="92" t="s">
        <v>333</v>
      </c>
      <c r="B118" s="159">
        <v>300000</v>
      </c>
      <c r="C118" s="159">
        <v>0</v>
      </c>
      <c r="D118" s="93">
        <v>300000</v>
      </c>
      <c r="E118" s="159">
        <v>0</v>
      </c>
      <c r="F118" s="88" t="s">
        <v>332</v>
      </c>
      <c r="G118" s="89" t="s">
        <v>324</v>
      </c>
      <c r="H118" s="90" t="s">
        <v>69</v>
      </c>
      <c r="I118" s="42"/>
      <c r="J118" s="105" t="s">
        <v>325</v>
      </c>
      <c r="K118" s="91"/>
      <c r="L118" s="91"/>
      <c r="M118" s="91"/>
      <c r="N118" s="91"/>
      <c r="O118" s="79"/>
      <c r="P118" s="109"/>
      <c r="Q118" s="109"/>
      <c r="R118" s="109"/>
      <c r="S118" s="109"/>
      <c r="T118" s="109"/>
      <c r="U118" s="109"/>
      <c r="V118" s="109"/>
      <c r="W118" s="109"/>
      <c r="X118" s="109"/>
      <c r="Y118" s="109"/>
      <c r="Z118" s="109"/>
    </row>
    <row r="119" spans="1:26" ht="15.75" customHeight="1" x14ac:dyDescent="0.25">
      <c r="A119" s="92" t="s">
        <v>334</v>
      </c>
      <c r="B119" s="159">
        <v>500000</v>
      </c>
      <c r="C119" s="159">
        <v>0</v>
      </c>
      <c r="D119" s="93">
        <v>500000</v>
      </c>
      <c r="E119" s="159">
        <v>0</v>
      </c>
      <c r="F119" s="88" t="s">
        <v>335</v>
      </c>
      <c r="G119" s="89" t="s">
        <v>324</v>
      </c>
      <c r="H119" s="90" t="s">
        <v>69</v>
      </c>
      <c r="I119" s="42"/>
      <c r="J119" s="105" t="s">
        <v>325</v>
      </c>
      <c r="K119" s="91"/>
      <c r="L119" s="91"/>
      <c r="M119" s="91"/>
      <c r="N119" s="91"/>
      <c r="O119" s="79"/>
      <c r="P119" s="109"/>
      <c r="Q119" s="109"/>
      <c r="R119" s="109"/>
      <c r="S119" s="109"/>
      <c r="T119" s="109"/>
      <c r="U119" s="109"/>
      <c r="V119" s="109"/>
      <c r="W119" s="109"/>
      <c r="X119" s="109"/>
      <c r="Y119" s="109"/>
      <c r="Z119" s="109"/>
    </row>
    <row r="120" spans="1:26" ht="15.75" customHeight="1" x14ac:dyDescent="0.25">
      <c r="A120" s="92" t="s">
        <v>336</v>
      </c>
      <c r="B120" s="159">
        <v>325000</v>
      </c>
      <c r="C120" s="159">
        <v>0</v>
      </c>
      <c r="D120" s="93">
        <v>325000</v>
      </c>
      <c r="E120" s="159">
        <v>0</v>
      </c>
      <c r="F120" s="88" t="s">
        <v>337</v>
      </c>
      <c r="G120" s="89" t="s">
        <v>324</v>
      </c>
      <c r="H120" s="90" t="s">
        <v>69</v>
      </c>
      <c r="I120" s="42"/>
      <c r="J120" s="105" t="s">
        <v>325</v>
      </c>
      <c r="K120" s="91"/>
      <c r="L120" s="91"/>
      <c r="M120" s="91"/>
      <c r="N120" s="91"/>
      <c r="O120" s="79"/>
      <c r="P120" s="42"/>
      <c r="Q120" s="42"/>
      <c r="R120" s="42"/>
      <c r="S120" s="42"/>
      <c r="T120" s="42"/>
      <c r="U120" s="42"/>
      <c r="V120" s="42"/>
      <c r="W120" s="42"/>
      <c r="X120" s="42"/>
      <c r="Y120" s="42"/>
      <c r="Z120" s="42"/>
    </row>
    <row r="121" spans="1:26" ht="15.75" customHeight="1" x14ac:dyDescent="0.25">
      <c r="A121" s="92" t="s">
        <v>338</v>
      </c>
      <c r="B121" s="93">
        <v>0</v>
      </c>
      <c r="C121" s="93">
        <v>0</v>
      </c>
      <c r="D121" s="93">
        <v>0</v>
      </c>
      <c r="E121" s="93">
        <v>0</v>
      </c>
      <c r="F121" s="88" t="s">
        <v>339</v>
      </c>
      <c r="G121" s="89" t="s">
        <v>324</v>
      </c>
      <c r="H121" s="90" t="s">
        <v>69</v>
      </c>
      <c r="I121" s="42"/>
      <c r="J121" s="91"/>
      <c r="K121" s="91"/>
      <c r="L121" s="91"/>
      <c r="M121" s="91"/>
      <c r="N121" s="91"/>
      <c r="O121" s="79"/>
      <c r="P121" s="109"/>
      <c r="Q121" s="109"/>
      <c r="R121" s="109"/>
      <c r="S121" s="109"/>
      <c r="T121" s="109"/>
      <c r="U121" s="109"/>
      <c r="V121" s="109"/>
      <c r="W121" s="109"/>
      <c r="X121" s="109"/>
      <c r="Y121" s="109"/>
      <c r="Z121" s="109"/>
    </row>
    <row r="122" spans="1:26" ht="15.75" customHeight="1" x14ac:dyDescent="0.25">
      <c r="A122" s="92" t="s">
        <v>340</v>
      </c>
      <c r="B122" s="93">
        <v>300000</v>
      </c>
      <c r="C122" s="93">
        <v>0</v>
      </c>
      <c r="D122" s="93">
        <v>280000</v>
      </c>
      <c r="E122" s="93">
        <v>0</v>
      </c>
      <c r="F122" s="88" t="s">
        <v>341</v>
      </c>
      <c r="G122" s="89" t="s">
        <v>324</v>
      </c>
      <c r="H122" s="90" t="s">
        <v>69</v>
      </c>
      <c r="I122" s="42"/>
      <c r="J122" s="105" t="s">
        <v>328</v>
      </c>
      <c r="K122" s="91"/>
      <c r="L122" s="91"/>
      <c r="M122" s="91"/>
      <c r="N122" s="91"/>
      <c r="O122" s="79"/>
      <c r="P122" s="42"/>
      <c r="Q122" s="42"/>
      <c r="R122" s="42"/>
      <c r="S122" s="42"/>
      <c r="T122" s="42"/>
      <c r="U122" s="42"/>
      <c r="V122" s="42"/>
      <c r="W122" s="42"/>
      <c r="X122" s="42"/>
      <c r="Y122" s="42"/>
      <c r="Z122" s="42"/>
    </row>
    <row r="123" spans="1:26" ht="15.75" customHeight="1" x14ac:dyDescent="0.25">
      <c r="A123" s="92" t="s">
        <v>342</v>
      </c>
      <c r="B123" s="93">
        <v>500000</v>
      </c>
      <c r="C123" s="93">
        <v>0</v>
      </c>
      <c r="D123" s="93">
        <v>77000</v>
      </c>
      <c r="E123" s="160">
        <v>423000</v>
      </c>
      <c r="F123" s="88" t="s">
        <v>343</v>
      </c>
      <c r="G123" s="89" t="s">
        <v>324</v>
      </c>
      <c r="H123" s="90" t="s">
        <v>69</v>
      </c>
      <c r="I123" s="42"/>
      <c r="J123" s="105" t="s">
        <v>328</v>
      </c>
      <c r="K123" s="91"/>
      <c r="L123" s="91"/>
      <c r="M123" s="91"/>
      <c r="N123" s="91"/>
      <c r="O123" s="79"/>
      <c r="P123" s="42"/>
      <c r="Q123" s="42"/>
      <c r="R123" s="42"/>
      <c r="S123" s="42"/>
      <c r="T123" s="42"/>
      <c r="U123" s="42"/>
      <c r="V123" s="42"/>
      <c r="W123" s="42"/>
      <c r="X123" s="42"/>
      <c r="Y123" s="42"/>
      <c r="Z123" s="42"/>
    </row>
    <row r="124" spans="1:26" ht="15.75" customHeight="1" x14ac:dyDescent="0.25">
      <c r="A124" s="92" t="s">
        <v>344</v>
      </c>
      <c r="B124" s="93">
        <v>325000</v>
      </c>
      <c r="C124" s="93">
        <v>0</v>
      </c>
      <c r="D124" s="93">
        <v>92000</v>
      </c>
      <c r="E124" s="93">
        <v>233000</v>
      </c>
      <c r="F124" s="88" t="s">
        <v>345</v>
      </c>
      <c r="G124" s="89" t="s">
        <v>324</v>
      </c>
      <c r="H124" s="90" t="s">
        <v>69</v>
      </c>
      <c r="I124" s="42"/>
      <c r="J124" s="105" t="s">
        <v>328</v>
      </c>
      <c r="K124" s="91"/>
      <c r="L124" s="91"/>
      <c r="M124" s="91"/>
      <c r="N124" s="91"/>
      <c r="O124" s="79"/>
      <c r="P124" s="109"/>
      <c r="Q124" s="109"/>
      <c r="R124" s="109"/>
      <c r="S124" s="109"/>
      <c r="T124" s="109"/>
      <c r="U124" s="109"/>
      <c r="V124" s="109"/>
      <c r="W124" s="109"/>
      <c r="X124" s="109"/>
      <c r="Y124" s="109"/>
      <c r="Z124" s="109"/>
    </row>
    <row r="125" spans="1:26" ht="15.75" customHeight="1" x14ac:dyDescent="0.25">
      <c r="A125" s="92" t="s">
        <v>346</v>
      </c>
      <c r="B125" s="93">
        <v>300000</v>
      </c>
      <c r="C125" s="93">
        <v>0</v>
      </c>
      <c r="D125" s="93">
        <v>97000</v>
      </c>
      <c r="E125" s="93">
        <v>203000</v>
      </c>
      <c r="F125" s="88" t="s">
        <v>347</v>
      </c>
      <c r="G125" s="89" t="s">
        <v>324</v>
      </c>
      <c r="H125" s="90" t="s">
        <v>69</v>
      </c>
      <c r="I125" s="42"/>
      <c r="J125" s="105" t="s">
        <v>328</v>
      </c>
      <c r="K125" s="91"/>
      <c r="L125" s="91"/>
      <c r="M125" s="91"/>
      <c r="N125" s="91"/>
      <c r="O125" s="79"/>
      <c r="P125" s="109"/>
      <c r="Q125" s="109"/>
      <c r="R125" s="109"/>
      <c r="S125" s="109"/>
      <c r="T125" s="109"/>
      <c r="U125" s="109"/>
      <c r="V125" s="109"/>
      <c r="W125" s="109"/>
      <c r="X125" s="109"/>
      <c r="Y125" s="109"/>
      <c r="Z125" s="109"/>
    </row>
    <row r="126" spans="1:26" ht="15.75" customHeight="1" x14ac:dyDescent="0.25">
      <c r="A126" s="92" t="s">
        <v>348</v>
      </c>
      <c r="B126" s="93">
        <v>300000</v>
      </c>
      <c r="C126" s="93">
        <v>0</v>
      </c>
      <c r="D126" s="93">
        <v>137000</v>
      </c>
      <c r="E126" s="93">
        <v>163000</v>
      </c>
      <c r="F126" s="88" t="s">
        <v>349</v>
      </c>
      <c r="G126" s="89" t="s">
        <v>324</v>
      </c>
      <c r="H126" s="90" t="s">
        <v>69</v>
      </c>
      <c r="I126" s="42"/>
      <c r="J126" s="105" t="s">
        <v>328</v>
      </c>
      <c r="K126" s="91"/>
      <c r="L126" s="91"/>
      <c r="M126" s="91"/>
      <c r="N126" s="91"/>
      <c r="O126" s="79"/>
      <c r="P126" s="42"/>
      <c r="Q126" s="42"/>
      <c r="R126" s="42"/>
      <c r="S126" s="42"/>
      <c r="T126" s="42"/>
      <c r="U126" s="42"/>
      <c r="V126" s="42"/>
      <c r="W126" s="42"/>
      <c r="X126" s="42"/>
      <c r="Y126" s="42"/>
      <c r="Z126" s="42"/>
    </row>
    <row r="127" spans="1:26" ht="15.75" customHeight="1" x14ac:dyDescent="0.25">
      <c r="A127" s="92" t="s">
        <v>350</v>
      </c>
      <c r="B127" s="93">
        <v>0</v>
      </c>
      <c r="C127" s="93">
        <v>0</v>
      </c>
      <c r="D127" s="93">
        <v>280000</v>
      </c>
      <c r="E127" s="93">
        <v>0</v>
      </c>
      <c r="F127" s="88" t="s">
        <v>351</v>
      </c>
      <c r="G127" s="89" t="s">
        <v>324</v>
      </c>
      <c r="H127" s="90" t="s">
        <v>69</v>
      </c>
      <c r="I127" s="42"/>
      <c r="J127" s="105" t="s">
        <v>325</v>
      </c>
      <c r="K127" s="91"/>
      <c r="L127" s="91"/>
      <c r="M127" s="91"/>
      <c r="N127" s="91"/>
      <c r="O127" s="79"/>
      <c r="P127" s="42"/>
      <c r="Q127" s="42"/>
      <c r="R127" s="42"/>
      <c r="S127" s="42"/>
      <c r="T127" s="42"/>
      <c r="U127" s="42"/>
      <c r="V127" s="42"/>
      <c r="W127" s="42"/>
      <c r="X127" s="42"/>
      <c r="Y127" s="42"/>
      <c r="Z127" s="42"/>
    </row>
    <row r="128" spans="1:26" ht="15.75" customHeight="1" x14ac:dyDescent="0.25">
      <c r="A128" s="92" t="s">
        <v>352</v>
      </c>
      <c r="B128" s="93">
        <v>500000</v>
      </c>
      <c r="C128" s="93">
        <v>0</v>
      </c>
      <c r="D128" s="93">
        <v>77000</v>
      </c>
      <c r="E128" s="93">
        <v>423000</v>
      </c>
      <c r="F128" s="88" t="s">
        <v>353</v>
      </c>
      <c r="G128" s="89" t="s">
        <v>324</v>
      </c>
      <c r="H128" s="90" t="s">
        <v>69</v>
      </c>
      <c r="I128" s="42"/>
      <c r="J128" s="105" t="s">
        <v>325</v>
      </c>
      <c r="K128" s="91"/>
      <c r="L128" s="91"/>
      <c r="M128" s="91"/>
      <c r="N128" s="91"/>
      <c r="O128" s="79"/>
      <c r="P128" s="109"/>
      <c r="Q128" s="109"/>
      <c r="R128" s="109"/>
      <c r="S128" s="109"/>
      <c r="T128" s="109"/>
      <c r="U128" s="109"/>
      <c r="V128" s="109"/>
      <c r="W128" s="109"/>
      <c r="X128" s="109"/>
      <c r="Y128" s="109"/>
      <c r="Z128" s="109"/>
    </row>
    <row r="129" spans="1:26" ht="15.75" customHeight="1" x14ac:dyDescent="0.25">
      <c r="A129" s="92" t="s">
        <v>354</v>
      </c>
      <c r="B129" s="93">
        <v>325000</v>
      </c>
      <c r="C129" s="93">
        <v>0</v>
      </c>
      <c r="D129" s="93">
        <v>92000</v>
      </c>
      <c r="E129" s="93">
        <v>233000</v>
      </c>
      <c r="F129" s="88" t="s">
        <v>355</v>
      </c>
      <c r="G129" s="89" t="s">
        <v>324</v>
      </c>
      <c r="H129" s="90" t="s">
        <v>69</v>
      </c>
      <c r="I129" s="42"/>
      <c r="J129" s="105" t="s">
        <v>325</v>
      </c>
      <c r="K129" s="91"/>
      <c r="L129" s="91"/>
      <c r="M129" s="91"/>
      <c r="N129" s="91"/>
      <c r="O129" s="79"/>
      <c r="P129" s="109"/>
      <c r="Q129" s="109"/>
      <c r="R129" s="109"/>
      <c r="S129" s="109"/>
      <c r="T129" s="109"/>
      <c r="U129" s="109"/>
      <c r="V129" s="109"/>
      <c r="W129" s="109"/>
      <c r="X129" s="109"/>
      <c r="Y129" s="109"/>
      <c r="Z129" s="109"/>
    </row>
    <row r="130" spans="1:26" ht="15.75" customHeight="1" x14ac:dyDescent="0.25">
      <c r="A130" s="92" t="s">
        <v>356</v>
      </c>
      <c r="B130" s="93">
        <v>300000</v>
      </c>
      <c r="C130" s="93">
        <v>0</v>
      </c>
      <c r="D130" s="93">
        <v>97000</v>
      </c>
      <c r="E130" s="93">
        <v>203000</v>
      </c>
      <c r="F130" s="88" t="s">
        <v>357</v>
      </c>
      <c r="G130" s="89" t="s">
        <v>324</v>
      </c>
      <c r="H130" s="90" t="s">
        <v>69</v>
      </c>
      <c r="I130" s="42"/>
      <c r="J130" s="105" t="s">
        <v>325</v>
      </c>
      <c r="K130" s="91"/>
      <c r="L130" s="91"/>
      <c r="M130" s="91"/>
      <c r="N130" s="91"/>
      <c r="O130" s="79"/>
      <c r="P130" s="42"/>
      <c r="Q130" s="42"/>
      <c r="R130" s="42"/>
      <c r="S130" s="42"/>
      <c r="T130" s="42"/>
      <c r="U130" s="42"/>
      <c r="V130" s="42"/>
      <c r="W130" s="42"/>
      <c r="X130" s="42"/>
      <c r="Y130" s="42"/>
      <c r="Z130" s="42"/>
    </row>
    <row r="131" spans="1:26" ht="15.75" customHeight="1" x14ac:dyDescent="0.25">
      <c r="A131" s="92" t="s">
        <v>358</v>
      </c>
      <c r="B131" s="93">
        <v>300000</v>
      </c>
      <c r="C131" s="93">
        <v>0</v>
      </c>
      <c r="D131" s="93">
        <v>137000</v>
      </c>
      <c r="E131" s="93">
        <v>163000</v>
      </c>
      <c r="F131" s="88" t="s">
        <v>359</v>
      </c>
      <c r="G131" s="89" t="s">
        <v>324</v>
      </c>
      <c r="H131" s="90" t="s">
        <v>69</v>
      </c>
      <c r="I131" s="42"/>
      <c r="J131" s="105" t="s">
        <v>325</v>
      </c>
      <c r="K131" s="91"/>
      <c r="L131" s="91"/>
      <c r="M131" s="91"/>
      <c r="N131" s="91"/>
      <c r="O131" s="79"/>
      <c r="P131" s="42"/>
      <c r="Q131" s="42"/>
      <c r="R131" s="42"/>
      <c r="S131" s="42"/>
      <c r="T131" s="42"/>
      <c r="U131" s="42"/>
      <c r="V131" s="42"/>
      <c r="W131" s="42"/>
      <c r="X131" s="42"/>
      <c r="Y131" s="42"/>
      <c r="Z131" s="42"/>
    </row>
    <row r="132" spans="1:26" ht="15.75" customHeight="1" x14ac:dyDescent="0.25">
      <c r="A132" s="92" t="s">
        <v>360</v>
      </c>
      <c r="B132" s="93">
        <v>230000</v>
      </c>
      <c r="C132" s="93">
        <v>75000</v>
      </c>
      <c r="D132" s="93">
        <v>230000</v>
      </c>
      <c r="E132" s="93">
        <v>0</v>
      </c>
      <c r="F132" s="88" t="s">
        <v>361</v>
      </c>
      <c r="G132" s="89" t="s">
        <v>324</v>
      </c>
      <c r="H132" s="90" t="s">
        <v>69</v>
      </c>
      <c r="I132" s="91"/>
      <c r="J132" s="91"/>
      <c r="K132" s="91"/>
      <c r="L132" s="91"/>
      <c r="M132" s="91"/>
      <c r="N132" s="91"/>
      <c r="O132" s="79"/>
      <c r="P132" s="42"/>
      <c r="Q132" s="42"/>
      <c r="R132" s="42"/>
      <c r="S132" s="42"/>
      <c r="T132" s="42"/>
      <c r="U132" s="42"/>
      <c r="V132" s="42"/>
      <c r="W132" s="42"/>
      <c r="X132" s="42"/>
      <c r="Y132" s="42"/>
      <c r="Z132" s="42"/>
    </row>
    <row r="133" spans="1:26" ht="15.75" customHeight="1" x14ac:dyDescent="0.25">
      <c r="A133" s="92" t="s">
        <v>362</v>
      </c>
      <c r="B133" s="93">
        <v>230000</v>
      </c>
      <c r="C133" s="93">
        <v>75000</v>
      </c>
      <c r="D133" s="93">
        <v>230000</v>
      </c>
      <c r="E133" s="93">
        <v>0</v>
      </c>
      <c r="F133" s="88" t="s">
        <v>363</v>
      </c>
      <c r="G133" s="89" t="s">
        <v>324</v>
      </c>
      <c r="H133" s="90" t="s">
        <v>69</v>
      </c>
      <c r="I133" s="91"/>
      <c r="J133" s="91"/>
      <c r="K133" s="91"/>
      <c r="L133" s="91"/>
      <c r="M133" s="91"/>
      <c r="N133" s="91"/>
      <c r="O133" s="79"/>
      <c r="P133" s="109"/>
      <c r="Q133" s="109"/>
      <c r="R133" s="109"/>
      <c r="S133" s="109"/>
      <c r="T133" s="109"/>
      <c r="U133" s="109"/>
      <c r="V133" s="109"/>
      <c r="W133" s="109"/>
      <c r="X133" s="109"/>
      <c r="Y133" s="109"/>
      <c r="Z133" s="109"/>
    </row>
    <row r="134" spans="1:26" ht="15.75" customHeight="1" x14ac:dyDescent="0.25">
      <c r="A134" s="92" t="s">
        <v>364</v>
      </c>
      <c r="B134" s="93">
        <v>260000</v>
      </c>
      <c r="C134" s="93">
        <v>75000</v>
      </c>
      <c r="D134" s="93">
        <v>260000</v>
      </c>
      <c r="E134" s="93">
        <v>0</v>
      </c>
      <c r="F134" s="88" t="s">
        <v>365</v>
      </c>
      <c r="G134" s="89" t="s">
        <v>324</v>
      </c>
      <c r="H134" s="90" t="s">
        <v>69</v>
      </c>
      <c r="I134" s="91"/>
      <c r="J134" s="91"/>
      <c r="K134" s="91"/>
      <c r="L134" s="91"/>
      <c r="M134" s="91"/>
      <c r="N134" s="91"/>
      <c r="O134" s="79"/>
      <c r="P134" s="109"/>
      <c r="Q134" s="109"/>
      <c r="R134" s="109"/>
      <c r="S134" s="109"/>
      <c r="T134" s="109"/>
      <c r="U134" s="109"/>
      <c r="V134" s="109"/>
      <c r="W134" s="109"/>
      <c r="X134" s="109"/>
      <c r="Y134" s="109"/>
      <c r="Z134" s="109"/>
    </row>
    <row r="135" spans="1:26" ht="15.75" customHeight="1" x14ac:dyDescent="0.25">
      <c r="A135" s="92" t="s">
        <v>366</v>
      </c>
      <c r="B135" s="93">
        <v>230000</v>
      </c>
      <c r="C135" s="93">
        <v>75000</v>
      </c>
      <c r="D135" s="93">
        <v>230000</v>
      </c>
      <c r="E135" s="93">
        <v>0</v>
      </c>
      <c r="F135" s="88" t="s">
        <v>367</v>
      </c>
      <c r="G135" s="89" t="s">
        <v>324</v>
      </c>
      <c r="H135" s="90" t="s">
        <v>69</v>
      </c>
      <c r="I135" s="91"/>
      <c r="J135" s="91"/>
      <c r="K135" s="91"/>
      <c r="L135" s="91"/>
      <c r="M135" s="91"/>
      <c r="N135" s="91"/>
      <c r="O135" s="79"/>
      <c r="P135" s="109"/>
      <c r="Q135" s="109"/>
      <c r="R135" s="109"/>
      <c r="S135" s="109"/>
      <c r="T135" s="109"/>
      <c r="U135" s="109"/>
      <c r="V135" s="109"/>
      <c r="W135" s="109"/>
      <c r="X135" s="109"/>
      <c r="Y135" s="109"/>
      <c r="Z135" s="109"/>
    </row>
    <row r="136" spans="1:26" ht="15.75" customHeight="1" x14ac:dyDescent="0.25">
      <c r="A136" s="92" t="s">
        <v>368</v>
      </c>
      <c r="B136" s="93">
        <v>230000</v>
      </c>
      <c r="C136" s="93">
        <v>75000</v>
      </c>
      <c r="D136" s="93">
        <v>230000</v>
      </c>
      <c r="E136" s="93">
        <v>0</v>
      </c>
      <c r="F136" s="88" t="s">
        <v>363</v>
      </c>
      <c r="G136" s="89" t="s">
        <v>324</v>
      </c>
      <c r="H136" s="90" t="s">
        <v>69</v>
      </c>
      <c r="I136" s="91"/>
      <c r="J136" s="91"/>
      <c r="K136" s="91"/>
      <c r="L136" s="91"/>
      <c r="M136" s="91"/>
      <c r="N136" s="91"/>
      <c r="O136" s="79"/>
      <c r="P136" s="42"/>
      <c r="Q136" s="42"/>
      <c r="R136" s="42"/>
      <c r="S136" s="42"/>
      <c r="T136" s="42"/>
      <c r="U136" s="42"/>
      <c r="V136" s="42"/>
      <c r="W136" s="42"/>
      <c r="X136" s="42"/>
      <c r="Y136" s="42"/>
      <c r="Z136" s="42"/>
    </row>
    <row r="137" spans="1:26" ht="15.75" customHeight="1" x14ac:dyDescent="0.25">
      <c r="A137" s="92" t="s">
        <v>369</v>
      </c>
      <c r="B137" s="93">
        <v>260000</v>
      </c>
      <c r="C137" s="93">
        <v>75000</v>
      </c>
      <c r="D137" s="93">
        <v>260000</v>
      </c>
      <c r="E137" s="93">
        <v>0</v>
      </c>
      <c r="F137" s="88" t="s">
        <v>370</v>
      </c>
      <c r="G137" s="89" t="s">
        <v>324</v>
      </c>
      <c r="H137" s="90" t="s">
        <v>69</v>
      </c>
      <c r="I137" s="91"/>
      <c r="J137" s="91"/>
      <c r="K137" s="91"/>
      <c r="L137" s="91"/>
      <c r="M137" s="91"/>
      <c r="N137" s="91"/>
      <c r="O137" s="79"/>
      <c r="P137" s="42"/>
      <c r="Q137" s="42"/>
      <c r="R137" s="42"/>
      <c r="S137" s="42"/>
      <c r="T137" s="42"/>
      <c r="U137" s="42"/>
      <c r="V137" s="42"/>
      <c r="W137" s="42"/>
      <c r="X137" s="42"/>
      <c r="Y137" s="42"/>
      <c r="Z137" s="42"/>
    </row>
    <row r="138" spans="1:26" ht="15.75" customHeight="1" x14ac:dyDescent="0.25">
      <c r="A138" s="92" t="s">
        <v>371</v>
      </c>
      <c r="B138" s="93">
        <v>230000</v>
      </c>
      <c r="C138" s="93">
        <v>75000</v>
      </c>
      <c r="D138" s="93">
        <v>230000</v>
      </c>
      <c r="E138" s="93">
        <v>0</v>
      </c>
      <c r="F138" s="88" t="s">
        <v>372</v>
      </c>
      <c r="G138" s="89" t="s">
        <v>373</v>
      </c>
      <c r="H138" s="90" t="s">
        <v>69</v>
      </c>
      <c r="I138" s="91"/>
      <c r="J138" s="91"/>
      <c r="K138" s="91"/>
      <c r="L138" s="91"/>
      <c r="M138" s="91"/>
      <c r="N138" s="91"/>
      <c r="O138" s="79"/>
      <c r="P138" s="42"/>
      <c r="Q138" s="42"/>
      <c r="R138" s="42"/>
      <c r="S138" s="42"/>
      <c r="T138" s="42"/>
      <c r="U138" s="42"/>
      <c r="V138" s="42"/>
      <c r="W138" s="42"/>
      <c r="X138" s="42"/>
      <c r="Y138" s="42"/>
      <c r="Z138" s="42"/>
    </row>
    <row r="139" spans="1:26" ht="15.75" customHeight="1" x14ac:dyDescent="0.25">
      <c r="A139" s="92" t="s">
        <v>374</v>
      </c>
      <c r="B139" s="93">
        <v>230000</v>
      </c>
      <c r="C139" s="93">
        <v>75000</v>
      </c>
      <c r="D139" s="93">
        <v>230000</v>
      </c>
      <c r="E139" s="93">
        <v>0</v>
      </c>
      <c r="F139" s="88" t="s">
        <v>375</v>
      </c>
      <c r="G139" s="89" t="s">
        <v>373</v>
      </c>
      <c r="H139" s="90" t="s">
        <v>69</v>
      </c>
      <c r="I139" s="91"/>
      <c r="J139" s="91"/>
      <c r="K139" s="91"/>
      <c r="L139" s="91"/>
      <c r="M139" s="91"/>
      <c r="N139" s="91"/>
      <c r="O139" s="79"/>
      <c r="P139" s="42"/>
      <c r="Q139" s="42"/>
      <c r="R139" s="42"/>
      <c r="S139" s="42"/>
      <c r="T139" s="42"/>
      <c r="U139" s="42"/>
      <c r="V139" s="42"/>
      <c r="W139" s="42"/>
      <c r="X139" s="42"/>
      <c r="Y139" s="42"/>
      <c r="Z139" s="42"/>
    </row>
    <row r="140" spans="1:26" ht="15.75" customHeight="1" x14ac:dyDescent="0.25">
      <c r="A140" s="92" t="s">
        <v>376</v>
      </c>
      <c r="B140" s="93">
        <v>260000</v>
      </c>
      <c r="C140" s="93">
        <v>75000</v>
      </c>
      <c r="D140" s="93">
        <v>260000</v>
      </c>
      <c r="E140" s="93">
        <v>0</v>
      </c>
      <c r="F140" s="88" t="s">
        <v>377</v>
      </c>
      <c r="G140" s="89" t="s">
        <v>373</v>
      </c>
      <c r="H140" s="90" t="s">
        <v>69</v>
      </c>
      <c r="I140" s="91"/>
      <c r="J140" s="91"/>
      <c r="K140" s="91"/>
      <c r="L140" s="91"/>
      <c r="M140" s="91"/>
      <c r="N140" s="91"/>
      <c r="O140" s="79"/>
      <c r="P140" s="42"/>
      <c r="Q140" s="42"/>
      <c r="R140" s="42"/>
      <c r="S140" s="42"/>
      <c r="T140" s="42"/>
      <c r="U140" s="42"/>
      <c r="V140" s="42"/>
      <c r="W140" s="42"/>
      <c r="X140" s="42"/>
      <c r="Y140" s="42"/>
      <c r="Z140" s="42"/>
    </row>
    <row r="141" spans="1:26" ht="15.75" customHeight="1" x14ac:dyDescent="0.25">
      <c r="A141" s="92" t="s">
        <v>378</v>
      </c>
      <c r="B141" s="93">
        <v>230000</v>
      </c>
      <c r="C141" s="93">
        <v>75000</v>
      </c>
      <c r="D141" s="93">
        <v>230000</v>
      </c>
      <c r="E141" s="93">
        <v>0</v>
      </c>
      <c r="F141" s="88" t="s">
        <v>379</v>
      </c>
      <c r="G141" s="89" t="s">
        <v>380</v>
      </c>
      <c r="H141" s="90" t="s">
        <v>69</v>
      </c>
      <c r="I141" s="91"/>
      <c r="J141" s="91"/>
      <c r="K141" s="91"/>
      <c r="L141" s="91"/>
      <c r="M141" s="91"/>
      <c r="N141" s="91"/>
      <c r="O141" s="79"/>
      <c r="P141" s="42"/>
      <c r="Q141" s="42"/>
      <c r="R141" s="42"/>
      <c r="S141" s="42"/>
      <c r="T141" s="42"/>
      <c r="U141" s="42"/>
      <c r="V141" s="42"/>
      <c r="W141" s="42"/>
      <c r="X141" s="42"/>
      <c r="Y141" s="42"/>
      <c r="Z141" s="42"/>
    </row>
    <row r="142" spans="1:26" ht="15.75" hidden="1" customHeight="1" x14ac:dyDescent="0.25">
      <c r="A142" s="92" t="s">
        <v>381</v>
      </c>
      <c r="B142" s="93">
        <v>230000</v>
      </c>
      <c r="C142" s="93">
        <v>75000</v>
      </c>
      <c r="D142" s="93">
        <v>230000</v>
      </c>
      <c r="E142" s="93">
        <v>0</v>
      </c>
      <c r="F142" s="88" t="s">
        <v>382</v>
      </c>
      <c r="G142" s="89" t="s">
        <v>380</v>
      </c>
      <c r="H142" s="90" t="s">
        <v>69</v>
      </c>
      <c r="I142" s="91"/>
      <c r="J142" s="91"/>
      <c r="K142" s="91"/>
      <c r="L142" s="91"/>
      <c r="M142" s="91"/>
      <c r="N142" s="91"/>
      <c r="O142" s="79"/>
      <c r="P142" s="42"/>
      <c r="Q142" s="42"/>
      <c r="R142" s="42"/>
      <c r="S142" s="42"/>
      <c r="T142" s="42"/>
      <c r="U142" s="42"/>
      <c r="V142" s="42"/>
      <c r="W142" s="42"/>
      <c r="X142" s="42"/>
      <c r="Y142" s="42"/>
      <c r="Z142" s="42"/>
    </row>
    <row r="143" spans="1:26" ht="15.75" customHeight="1" x14ac:dyDescent="0.25">
      <c r="A143" s="92" t="s">
        <v>383</v>
      </c>
      <c r="B143" s="93">
        <v>260000</v>
      </c>
      <c r="C143" s="93">
        <v>75000</v>
      </c>
      <c r="D143" s="93">
        <v>260000</v>
      </c>
      <c r="E143" s="93">
        <v>0</v>
      </c>
      <c r="F143" s="88" t="s">
        <v>382</v>
      </c>
      <c r="G143" s="89" t="s">
        <v>380</v>
      </c>
      <c r="H143" s="90" t="s">
        <v>69</v>
      </c>
      <c r="I143" s="91"/>
      <c r="J143" s="91"/>
      <c r="K143" s="91"/>
      <c r="L143" s="91"/>
      <c r="M143" s="91"/>
      <c r="N143" s="91"/>
      <c r="O143" s="79"/>
      <c r="P143" s="42"/>
      <c r="Q143" s="42"/>
      <c r="R143" s="42"/>
      <c r="S143" s="42"/>
      <c r="T143" s="42"/>
      <c r="U143" s="42"/>
      <c r="V143" s="42"/>
      <c r="W143" s="42"/>
      <c r="X143" s="42"/>
      <c r="Y143" s="42"/>
      <c r="Z143" s="42"/>
    </row>
    <row r="144" spans="1:26" ht="15.75" customHeight="1" x14ac:dyDescent="0.25">
      <c r="A144" s="92" t="s">
        <v>384</v>
      </c>
      <c r="B144" s="93">
        <v>0</v>
      </c>
      <c r="C144" s="93">
        <v>0</v>
      </c>
      <c r="D144" s="93">
        <v>0</v>
      </c>
      <c r="E144" s="93">
        <v>0</v>
      </c>
      <c r="F144" s="88" t="s">
        <v>69</v>
      </c>
      <c r="G144" s="89" t="s">
        <v>69</v>
      </c>
      <c r="H144" s="90" t="s">
        <v>69</v>
      </c>
      <c r="I144" s="91"/>
      <c r="J144" s="91"/>
      <c r="K144" s="91"/>
      <c r="L144" s="91"/>
      <c r="M144" s="91"/>
      <c r="N144" s="91"/>
      <c r="O144" s="79"/>
      <c r="P144" s="109"/>
      <c r="Q144" s="109"/>
      <c r="R144" s="109"/>
      <c r="S144" s="109"/>
      <c r="T144" s="109"/>
      <c r="U144" s="109"/>
      <c r="V144" s="109"/>
      <c r="W144" s="109"/>
      <c r="X144" s="109"/>
      <c r="Y144" s="109"/>
      <c r="Z144" s="109"/>
    </row>
    <row r="145" spans="1:26" ht="15.75" customHeight="1" x14ac:dyDescent="0.25">
      <c r="A145" s="92" t="s">
        <v>385</v>
      </c>
      <c r="B145" s="93">
        <v>2850000</v>
      </c>
      <c r="C145" s="93">
        <v>0</v>
      </c>
      <c r="D145" s="93">
        <v>2850000</v>
      </c>
      <c r="E145" s="93">
        <v>0</v>
      </c>
      <c r="F145" s="88" t="s">
        <v>386</v>
      </c>
      <c r="G145" s="161" t="s">
        <v>387</v>
      </c>
      <c r="H145" s="90" t="s">
        <v>388</v>
      </c>
      <c r="I145" s="91"/>
      <c r="J145" s="91"/>
      <c r="K145" s="91"/>
      <c r="L145" s="91"/>
      <c r="M145" s="91"/>
      <c r="N145" s="91"/>
      <c r="O145" s="79"/>
      <c r="P145" s="109"/>
      <c r="Q145" s="109"/>
      <c r="R145" s="109"/>
      <c r="S145" s="109"/>
      <c r="T145" s="109"/>
      <c r="U145" s="109"/>
      <c r="V145" s="109"/>
      <c r="W145" s="109"/>
      <c r="X145" s="109"/>
      <c r="Y145" s="109"/>
      <c r="Z145" s="109"/>
    </row>
    <row r="146" spans="1:26" ht="15.75" customHeight="1" x14ac:dyDescent="0.25">
      <c r="A146" s="92" t="s">
        <v>389</v>
      </c>
      <c r="B146" s="93">
        <v>4050000</v>
      </c>
      <c r="C146" s="93">
        <v>0</v>
      </c>
      <c r="D146" s="93">
        <v>4050000</v>
      </c>
      <c r="E146" s="93">
        <v>0</v>
      </c>
      <c r="F146" s="88" t="s">
        <v>390</v>
      </c>
      <c r="G146" s="161" t="s">
        <v>387</v>
      </c>
      <c r="H146" s="90" t="s">
        <v>388</v>
      </c>
      <c r="I146" s="91"/>
      <c r="J146" s="91"/>
      <c r="K146" s="91"/>
      <c r="L146" s="91"/>
      <c r="M146" s="91"/>
      <c r="N146" s="91"/>
      <c r="O146" s="79"/>
      <c r="P146" s="109"/>
      <c r="Q146" s="109"/>
      <c r="R146" s="109"/>
      <c r="S146" s="109"/>
      <c r="T146" s="109"/>
      <c r="U146" s="109"/>
      <c r="V146" s="109"/>
      <c r="W146" s="109"/>
      <c r="X146" s="109"/>
      <c r="Y146" s="109"/>
      <c r="Z146" s="109"/>
    </row>
    <row r="147" spans="1:26" ht="15.75" customHeight="1" x14ac:dyDescent="0.25">
      <c r="A147" s="92" t="s">
        <v>391</v>
      </c>
      <c r="B147" s="159">
        <v>3700000</v>
      </c>
      <c r="C147" s="159">
        <v>300000</v>
      </c>
      <c r="D147" s="93">
        <v>1350000</v>
      </c>
      <c r="E147" s="162" t="s">
        <v>392</v>
      </c>
      <c r="F147" s="88" t="s">
        <v>393</v>
      </c>
      <c r="G147" s="161" t="s">
        <v>387</v>
      </c>
      <c r="H147" s="90" t="s">
        <v>388</v>
      </c>
      <c r="I147" s="91"/>
      <c r="J147" s="91"/>
      <c r="K147" s="91"/>
      <c r="L147" s="91"/>
      <c r="M147" s="91"/>
      <c r="N147" s="91"/>
      <c r="O147" s="79"/>
      <c r="P147" s="109"/>
      <c r="Q147" s="109"/>
      <c r="R147" s="109"/>
      <c r="S147" s="109"/>
      <c r="T147" s="109"/>
      <c r="U147" s="109"/>
      <c r="V147" s="109"/>
      <c r="W147" s="109"/>
      <c r="X147" s="109"/>
      <c r="Y147" s="109"/>
      <c r="Z147" s="109"/>
    </row>
    <row r="148" spans="1:26" ht="15.75" customHeight="1" x14ac:dyDescent="0.25">
      <c r="A148" s="92" t="s">
        <v>394</v>
      </c>
      <c r="B148" s="159">
        <v>3800000</v>
      </c>
      <c r="C148" s="159">
        <v>300000</v>
      </c>
      <c r="D148" s="93">
        <v>1350000</v>
      </c>
      <c r="E148" s="162" t="s">
        <v>392</v>
      </c>
      <c r="F148" s="89" t="s">
        <v>395</v>
      </c>
      <c r="G148" s="161" t="s">
        <v>396</v>
      </c>
      <c r="H148" s="90" t="s">
        <v>388</v>
      </c>
      <c r="I148" s="91"/>
      <c r="J148" s="91"/>
      <c r="K148" s="91"/>
      <c r="L148" s="91"/>
      <c r="M148" s="91"/>
      <c r="N148" s="91"/>
      <c r="O148" s="79"/>
      <c r="P148" s="109"/>
      <c r="Q148" s="109"/>
      <c r="R148" s="109"/>
      <c r="S148" s="109"/>
      <c r="T148" s="109"/>
      <c r="U148" s="109"/>
      <c r="V148" s="109"/>
      <c r="W148" s="109"/>
      <c r="X148" s="109"/>
      <c r="Y148" s="109"/>
      <c r="Z148" s="109"/>
    </row>
    <row r="149" spans="1:26" ht="15.75" customHeight="1" x14ac:dyDescent="0.25">
      <c r="A149" s="92" t="s">
        <v>397</v>
      </c>
      <c r="B149" s="159">
        <v>0</v>
      </c>
      <c r="C149" s="159">
        <v>300000</v>
      </c>
      <c r="D149" s="93">
        <v>0</v>
      </c>
      <c r="E149" s="162" t="s">
        <v>392</v>
      </c>
      <c r="F149" s="89" t="s">
        <v>398</v>
      </c>
      <c r="G149" s="161" t="s">
        <v>396</v>
      </c>
      <c r="H149" s="90" t="s">
        <v>388</v>
      </c>
      <c r="I149" s="91"/>
      <c r="J149" s="91"/>
      <c r="K149" s="91"/>
      <c r="L149" s="91"/>
      <c r="M149" s="91"/>
      <c r="N149" s="91"/>
      <c r="O149" s="79"/>
      <c r="P149" s="109"/>
      <c r="Q149" s="109"/>
      <c r="R149" s="109"/>
      <c r="S149" s="109"/>
      <c r="T149" s="109"/>
      <c r="U149" s="109"/>
      <c r="V149" s="109"/>
      <c r="W149" s="109"/>
      <c r="X149" s="109"/>
      <c r="Y149" s="109"/>
      <c r="Z149" s="109"/>
    </row>
    <row r="150" spans="1:26" ht="15.75" customHeight="1" x14ac:dyDescent="0.25">
      <c r="A150" s="92" t="s">
        <v>399</v>
      </c>
      <c r="B150" s="159">
        <v>3700000</v>
      </c>
      <c r="C150" s="159">
        <v>300000</v>
      </c>
      <c r="D150" s="93">
        <v>1200000</v>
      </c>
      <c r="E150" s="162" t="s">
        <v>392</v>
      </c>
      <c r="F150" s="88" t="s">
        <v>400</v>
      </c>
      <c r="G150" s="161" t="s">
        <v>396</v>
      </c>
      <c r="H150" s="90" t="s">
        <v>388</v>
      </c>
      <c r="I150" s="91"/>
      <c r="J150" s="91"/>
      <c r="K150" s="91"/>
      <c r="L150" s="91"/>
      <c r="M150" s="91"/>
      <c r="N150" s="91"/>
      <c r="O150" s="79"/>
      <c r="P150" s="42"/>
      <c r="Q150" s="42"/>
      <c r="R150" s="42"/>
      <c r="S150" s="42"/>
      <c r="T150" s="42"/>
      <c r="U150" s="42"/>
      <c r="V150" s="42"/>
      <c r="W150" s="42"/>
      <c r="X150" s="42"/>
      <c r="Y150" s="42"/>
      <c r="Z150" s="42"/>
    </row>
    <row r="151" spans="1:26" ht="15.75" customHeight="1" x14ac:dyDescent="0.25">
      <c r="A151" s="92" t="s">
        <v>401</v>
      </c>
      <c r="B151" s="159">
        <v>5250000</v>
      </c>
      <c r="C151" s="159">
        <v>300000</v>
      </c>
      <c r="D151" s="93">
        <v>1200000</v>
      </c>
      <c r="E151" s="162" t="s">
        <v>392</v>
      </c>
      <c r="F151" s="88" t="s">
        <v>402</v>
      </c>
      <c r="G151" s="161" t="s">
        <v>396</v>
      </c>
      <c r="H151" s="90" t="s">
        <v>388</v>
      </c>
      <c r="I151" s="91"/>
      <c r="J151" s="91"/>
      <c r="K151" s="91"/>
      <c r="L151" s="91"/>
      <c r="M151" s="91"/>
      <c r="N151" s="91"/>
      <c r="O151" s="79"/>
      <c r="P151" s="42"/>
      <c r="Q151" s="42"/>
      <c r="R151" s="42"/>
      <c r="S151" s="42"/>
      <c r="T151" s="42"/>
      <c r="U151" s="42"/>
      <c r="V151" s="42"/>
      <c r="W151" s="42"/>
      <c r="X151" s="42"/>
      <c r="Y151" s="42"/>
      <c r="Z151" s="42"/>
    </row>
    <row r="152" spans="1:26" ht="15.75" customHeight="1" x14ac:dyDescent="0.25">
      <c r="A152" s="163" t="s">
        <v>403</v>
      </c>
      <c r="B152" s="164">
        <v>11450000</v>
      </c>
      <c r="C152" s="79"/>
      <c r="D152" s="79"/>
      <c r="E152" s="79"/>
      <c r="F152" s="105" t="s">
        <v>404</v>
      </c>
      <c r="G152" s="161" t="s">
        <v>396</v>
      </c>
      <c r="H152" s="165" t="s">
        <v>405</v>
      </c>
      <c r="I152" s="91"/>
      <c r="J152" s="91"/>
      <c r="K152" s="91"/>
      <c r="L152" s="91"/>
      <c r="M152" s="91"/>
      <c r="N152" s="91"/>
      <c r="O152" s="79"/>
      <c r="P152" s="166"/>
      <c r="Q152" s="166"/>
      <c r="R152" s="166"/>
      <c r="S152" s="166"/>
      <c r="T152" s="166"/>
      <c r="U152" s="110"/>
      <c r="V152" s="110"/>
      <c r="W152" s="110"/>
      <c r="X152" s="110"/>
      <c r="Y152" s="110"/>
      <c r="Z152" s="110"/>
    </row>
    <row r="153" spans="1:26" ht="15.75" customHeight="1" x14ac:dyDescent="0.25">
      <c r="A153" s="86" t="s">
        <v>406</v>
      </c>
      <c r="B153" s="167">
        <v>4400000</v>
      </c>
      <c r="C153" s="167">
        <v>300000</v>
      </c>
      <c r="D153" s="87">
        <v>1200000</v>
      </c>
      <c r="E153" s="168" t="s">
        <v>392</v>
      </c>
      <c r="F153" s="169" t="s">
        <v>407</v>
      </c>
      <c r="G153" s="161" t="s">
        <v>396</v>
      </c>
      <c r="H153" s="170" t="s">
        <v>388</v>
      </c>
      <c r="I153" s="91"/>
      <c r="J153" s="91"/>
      <c r="K153" s="91"/>
      <c r="L153" s="91"/>
      <c r="M153" s="91"/>
      <c r="N153" s="91"/>
      <c r="O153" s="79"/>
      <c r="P153" s="110"/>
      <c r="Q153" s="110"/>
      <c r="R153" s="110"/>
      <c r="S153" s="110"/>
      <c r="T153" s="110"/>
      <c r="U153" s="110"/>
      <c r="V153" s="110"/>
      <c r="W153" s="110"/>
      <c r="X153" s="110"/>
      <c r="Y153" s="110"/>
      <c r="Z153" s="110"/>
    </row>
    <row r="154" spans="1:26" ht="15.75" customHeight="1" x14ac:dyDescent="0.25">
      <c r="A154" s="171" t="s">
        <v>408</v>
      </c>
      <c r="B154" s="93">
        <v>0</v>
      </c>
      <c r="C154" s="93">
        <v>0</v>
      </c>
      <c r="D154" s="93">
        <v>0</v>
      </c>
      <c r="E154" s="93">
        <v>0</v>
      </c>
      <c r="F154" s="88" t="s">
        <v>69</v>
      </c>
      <c r="G154" s="161" t="s">
        <v>69</v>
      </c>
      <c r="H154" s="90" t="s">
        <v>69</v>
      </c>
      <c r="I154" s="91"/>
      <c r="J154" s="91"/>
      <c r="K154" s="91"/>
      <c r="L154" s="91"/>
      <c r="M154" s="91"/>
      <c r="N154" s="91"/>
      <c r="O154" s="79"/>
      <c r="P154" s="110"/>
      <c r="Q154" s="110"/>
      <c r="R154" s="110"/>
      <c r="S154" s="110"/>
      <c r="T154" s="110"/>
      <c r="U154" s="110"/>
      <c r="V154" s="110"/>
      <c r="W154" s="110"/>
      <c r="X154" s="110"/>
      <c r="Y154" s="110"/>
      <c r="Z154" s="110"/>
    </row>
    <row r="155" spans="1:26" ht="15.75" customHeight="1" x14ac:dyDescent="0.25">
      <c r="A155" s="171" t="s">
        <v>409</v>
      </c>
      <c r="B155" s="93">
        <v>150000</v>
      </c>
      <c r="C155" s="93">
        <v>70000</v>
      </c>
      <c r="D155" s="93">
        <v>100000</v>
      </c>
      <c r="E155" s="93">
        <v>50000</v>
      </c>
      <c r="F155" s="88" t="s">
        <v>410</v>
      </c>
      <c r="G155" s="161" t="s">
        <v>411</v>
      </c>
      <c r="H155" s="90" t="s">
        <v>69</v>
      </c>
      <c r="I155" s="91"/>
      <c r="J155" s="91"/>
      <c r="K155" s="91"/>
      <c r="L155" s="91"/>
      <c r="M155" s="91"/>
      <c r="N155" s="91"/>
      <c r="O155" s="79"/>
      <c r="P155" s="110"/>
      <c r="Q155" s="110"/>
      <c r="R155" s="110"/>
      <c r="S155" s="110"/>
      <c r="T155" s="110"/>
      <c r="U155" s="110"/>
      <c r="V155" s="110"/>
      <c r="W155" s="110"/>
      <c r="X155" s="110"/>
      <c r="Y155" s="110"/>
      <c r="Z155" s="110"/>
    </row>
    <row r="156" spans="1:26" ht="15.75" customHeight="1" x14ac:dyDescent="0.25">
      <c r="A156" s="172" t="s">
        <v>412</v>
      </c>
      <c r="B156" s="93">
        <v>115000</v>
      </c>
      <c r="C156" s="93">
        <v>70000</v>
      </c>
      <c r="D156" s="93">
        <v>80000</v>
      </c>
      <c r="E156" s="93">
        <v>35000</v>
      </c>
      <c r="F156" s="88" t="s">
        <v>410</v>
      </c>
      <c r="G156" s="89" t="s">
        <v>411</v>
      </c>
      <c r="H156" s="90" t="s">
        <v>69</v>
      </c>
      <c r="I156" s="91"/>
      <c r="J156" s="91"/>
      <c r="K156" s="91"/>
      <c r="L156" s="91"/>
      <c r="M156" s="91"/>
      <c r="N156" s="91"/>
      <c r="O156" s="79"/>
      <c r="P156" s="42"/>
      <c r="Q156" s="42"/>
      <c r="R156" s="42"/>
      <c r="S156" s="42"/>
      <c r="T156" s="42"/>
      <c r="U156" s="42"/>
      <c r="V156" s="42"/>
      <c r="W156" s="42"/>
      <c r="X156" s="42"/>
      <c r="Y156" s="42"/>
      <c r="Z156" s="42"/>
    </row>
    <row r="157" spans="1:26" ht="15.75" customHeight="1" x14ac:dyDescent="0.25">
      <c r="A157" s="172" t="s">
        <v>413</v>
      </c>
      <c r="B157" s="93">
        <v>200000</v>
      </c>
      <c r="C157" s="93">
        <v>109000</v>
      </c>
      <c r="D157" s="93">
        <v>91000</v>
      </c>
      <c r="E157" s="93">
        <v>109000</v>
      </c>
      <c r="F157" s="88" t="s">
        <v>414</v>
      </c>
      <c r="G157" s="89" t="s">
        <v>415</v>
      </c>
      <c r="H157" s="90" t="s">
        <v>69</v>
      </c>
      <c r="I157" s="91"/>
      <c r="J157" s="91"/>
      <c r="K157" s="91"/>
      <c r="L157" s="91"/>
      <c r="M157" s="91"/>
      <c r="N157" s="91"/>
      <c r="O157" s="79"/>
      <c r="P157" s="42"/>
      <c r="Q157" s="42"/>
      <c r="R157" s="42"/>
      <c r="S157" s="42"/>
      <c r="T157" s="42"/>
      <c r="U157" s="42"/>
      <c r="V157" s="42"/>
      <c r="W157" s="42"/>
      <c r="X157" s="42"/>
      <c r="Y157" s="42"/>
      <c r="Z157" s="42"/>
    </row>
    <row r="158" spans="1:26" ht="15.75" customHeight="1" x14ac:dyDescent="0.25">
      <c r="A158" s="172" t="s">
        <v>416</v>
      </c>
      <c r="B158" s="93">
        <v>430000</v>
      </c>
      <c r="C158" s="93">
        <v>0</v>
      </c>
      <c r="D158" s="93">
        <v>125000</v>
      </c>
      <c r="E158" s="93">
        <v>305000</v>
      </c>
      <c r="F158" s="88" t="s">
        <v>69</v>
      </c>
      <c r="G158" s="161" t="s">
        <v>69</v>
      </c>
      <c r="H158" s="90" t="s">
        <v>69</v>
      </c>
      <c r="I158" s="91"/>
      <c r="J158" s="91"/>
      <c r="K158" s="91"/>
      <c r="L158" s="91"/>
      <c r="M158" s="91"/>
      <c r="N158" s="91"/>
      <c r="O158" s="79"/>
      <c r="P158" s="42"/>
      <c r="Q158" s="42"/>
      <c r="R158" s="42"/>
      <c r="S158" s="42"/>
      <c r="T158" s="42"/>
      <c r="U158" s="42"/>
      <c r="V158" s="42"/>
      <c r="W158" s="42"/>
      <c r="X158" s="42"/>
      <c r="Y158" s="42"/>
      <c r="Z158" s="42"/>
    </row>
    <row r="159" spans="1:26" ht="15.75" customHeight="1" x14ac:dyDescent="0.25">
      <c r="A159" s="172" t="s">
        <v>417</v>
      </c>
      <c r="B159" s="93">
        <v>350000</v>
      </c>
      <c r="C159" s="93">
        <v>0</v>
      </c>
      <c r="D159" s="93">
        <v>115000</v>
      </c>
      <c r="E159" s="93">
        <v>235000</v>
      </c>
      <c r="F159" s="88" t="s">
        <v>69</v>
      </c>
      <c r="G159" s="161" t="s">
        <v>69</v>
      </c>
      <c r="H159" s="90" t="s">
        <v>69</v>
      </c>
      <c r="I159" s="91"/>
      <c r="J159" s="91"/>
      <c r="K159" s="91"/>
      <c r="L159" s="91"/>
      <c r="M159" s="91"/>
      <c r="N159" s="91"/>
      <c r="O159" s="79"/>
      <c r="P159" s="42"/>
      <c r="Q159" s="42"/>
      <c r="R159" s="42"/>
      <c r="S159" s="42"/>
      <c r="T159" s="42"/>
      <c r="U159" s="42"/>
      <c r="V159" s="42"/>
      <c r="W159" s="42"/>
      <c r="X159" s="42"/>
      <c r="Y159" s="42"/>
      <c r="Z159" s="42"/>
    </row>
    <row r="160" spans="1:26" ht="15.75" customHeight="1" x14ac:dyDescent="0.25">
      <c r="A160" s="172" t="s">
        <v>418</v>
      </c>
      <c r="B160" s="93">
        <v>210000</v>
      </c>
      <c r="C160" s="93">
        <v>110000</v>
      </c>
      <c r="D160" s="93">
        <v>100000</v>
      </c>
      <c r="E160" s="93">
        <v>110000</v>
      </c>
      <c r="F160" s="88" t="s">
        <v>419</v>
      </c>
      <c r="G160" s="89" t="s">
        <v>420</v>
      </c>
      <c r="H160" s="90" t="s">
        <v>69</v>
      </c>
      <c r="I160" s="91"/>
      <c r="J160" s="91"/>
      <c r="K160" s="91"/>
      <c r="L160" s="91"/>
      <c r="M160" s="91"/>
      <c r="N160" s="91"/>
      <c r="O160" s="79"/>
      <c r="P160" s="42"/>
      <c r="Q160" s="42"/>
      <c r="R160" s="42"/>
      <c r="S160" s="42"/>
      <c r="T160" s="42"/>
      <c r="U160" s="42"/>
      <c r="V160" s="42"/>
      <c r="W160" s="42"/>
      <c r="X160" s="42"/>
      <c r="Y160" s="42"/>
      <c r="Z160" s="42"/>
    </row>
    <row r="161" spans="1:26" ht="15.75" customHeight="1" x14ac:dyDescent="0.25">
      <c r="A161" s="171" t="s">
        <v>421</v>
      </c>
      <c r="B161" s="93">
        <v>280000</v>
      </c>
      <c r="C161" s="93">
        <v>0</v>
      </c>
      <c r="D161" s="93">
        <v>120000</v>
      </c>
      <c r="E161" s="93">
        <v>160000</v>
      </c>
      <c r="F161" s="88" t="s">
        <v>422</v>
      </c>
      <c r="G161" s="89" t="s">
        <v>69</v>
      </c>
      <c r="H161" s="90" t="s">
        <v>69</v>
      </c>
      <c r="I161" s="91"/>
      <c r="J161" s="91"/>
      <c r="K161" s="91"/>
      <c r="L161" s="91"/>
      <c r="M161" s="91"/>
      <c r="N161" s="91"/>
      <c r="O161" s="79"/>
      <c r="P161" s="42"/>
      <c r="Q161" s="42"/>
      <c r="R161" s="42"/>
      <c r="S161" s="42"/>
      <c r="T161" s="42"/>
      <c r="U161" s="42"/>
      <c r="V161" s="42"/>
      <c r="W161" s="42"/>
      <c r="X161" s="42"/>
      <c r="Y161" s="42"/>
      <c r="Z161" s="42"/>
    </row>
    <row r="162" spans="1:26" ht="15.75" customHeight="1" x14ac:dyDescent="0.25">
      <c r="A162" s="171" t="s">
        <v>423</v>
      </c>
      <c r="B162" s="93">
        <v>0</v>
      </c>
      <c r="C162" s="93">
        <v>0</v>
      </c>
      <c r="D162" s="93">
        <v>0</v>
      </c>
      <c r="E162" s="93">
        <v>0</v>
      </c>
      <c r="F162" s="88" t="s">
        <v>69</v>
      </c>
      <c r="G162" s="89" t="s">
        <v>69</v>
      </c>
      <c r="H162" s="90" t="s">
        <v>69</v>
      </c>
      <c r="I162" s="91"/>
      <c r="J162" s="91"/>
      <c r="K162" s="91"/>
      <c r="L162" s="91"/>
      <c r="M162" s="91"/>
      <c r="N162" s="91"/>
      <c r="O162" s="79"/>
      <c r="P162" s="42"/>
      <c r="Q162" s="42"/>
      <c r="R162" s="42"/>
      <c r="S162" s="42"/>
      <c r="T162" s="42"/>
      <c r="U162" s="42"/>
      <c r="V162" s="42"/>
      <c r="W162" s="42"/>
      <c r="X162" s="42"/>
      <c r="Y162" s="42"/>
      <c r="Z162" s="42"/>
    </row>
    <row r="163" spans="1:26" ht="15.75" customHeight="1" x14ac:dyDescent="0.25">
      <c r="A163" s="171" t="s">
        <v>424</v>
      </c>
      <c r="B163" s="93">
        <v>15000</v>
      </c>
      <c r="C163" s="93">
        <v>0</v>
      </c>
      <c r="D163" s="93">
        <v>15000</v>
      </c>
      <c r="E163" s="93">
        <v>0</v>
      </c>
      <c r="F163" s="88" t="s">
        <v>69</v>
      </c>
      <c r="G163" s="89" t="s">
        <v>69</v>
      </c>
      <c r="H163" s="90" t="s">
        <v>69</v>
      </c>
      <c r="I163" s="91"/>
      <c r="J163" s="91"/>
      <c r="K163" s="91"/>
      <c r="L163" s="91"/>
      <c r="M163" s="91"/>
      <c r="N163" s="91"/>
      <c r="O163" s="79"/>
      <c r="P163" s="42"/>
      <c r="Q163" s="42"/>
      <c r="R163" s="42"/>
      <c r="S163" s="42"/>
      <c r="T163" s="42"/>
      <c r="U163" s="42"/>
      <c r="V163" s="42"/>
      <c r="W163" s="42"/>
      <c r="X163" s="42"/>
      <c r="Y163" s="42"/>
      <c r="Z163" s="42"/>
    </row>
    <row r="164" spans="1:26" ht="15.75" customHeight="1" x14ac:dyDescent="0.25">
      <c r="A164" s="171" t="s">
        <v>425</v>
      </c>
      <c r="B164" s="93">
        <v>700000</v>
      </c>
      <c r="C164" s="93">
        <v>190000</v>
      </c>
      <c r="D164" s="93">
        <v>700000</v>
      </c>
      <c r="E164" s="93">
        <v>0</v>
      </c>
      <c r="F164" s="88" t="s">
        <v>426</v>
      </c>
      <c r="G164" s="89" t="s">
        <v>324</v>
      </c>
      <c r="H164" s="90" t="s">
        <v>69</v>
      </c>
      <c r="I164" s="91"/>
      <c r="J164" s="127" t="s">
        <v>427</v>
      </c>
      <c r="K164" s="91"/>
      <c r="L164" s="91"/>
      <c r="M164" s="91"/>
      <c r="N164" s="91"/>
      <c r="O164" s="79"/>
      <c r="P164" s="42"/>
      <c r="Q164" s="42"/>
      <c r="R164" s="42"/>
      <c r="S164" s="42"/>
      <c r="T164" s="42"/>
      <c r="U164" s="42"/>
      <c r="V164" s="42"/>
      <c r="W164" s="42"/>
      <c r="X164" s="42"/>
      <c r="Y164" s="42"/>
      <c r="Z164" s="42"/>
    </row>
    <row r="165" spans="1:26" ht="15.75" customHeight="1" x14ac:dyDescent="0.25">
      <c r="A165" s="171" t="s">
        <v>428</v>
      </c>
      <c r="B165" s="93">
        <v>400000</v>
      </c>
      <c r="C165" s="93">
        <v>190000</v>
      </c>
      <c r="D165" s="93">
        <f t="shared" ref="D165:D166" si="8">B165-E165</f>
        <v>145850</v>
      </c>
      <c r="E165" s="93">
        <v>254150</v>
      </c>
      <c r="F165" s="88" t="s">
        <v>429</v>
      </c>
      <c r="G165" s="89" t="s">
        <v>430</v>
      </c>
      <c r="H165" s="90" t="s">
        <v>69</v>
      </c>
      <c r="I165" s="91"/>
      <c r="J165" s="127" t="s">
        <v>427</v>
      </c>
      <c r="K165" s="91"/>
      <c r="L165" s="91"/>
      <c r="M165" s="91"/>
      <c r="N165" s="91"/>
      <c r="O165" s="79"/>
      <c r="P165" s="42"/>
      <c r="Q165" s="42"/>
      <c r="R165" s="42"/>
      <c r="S165" s="42"/>
      <c r="T165" s="42"/>
      <c r="U165" s="42"/>
      <c r="V165" s="42"/>
      <c r="W165" s="42"/>
      <c r="X165" s="42"/>
      <c r="Y165" s="42"/>
      <c r="Z165" s="42"/>
    </row>
    <row r="166" spans="1:26" ht="15.75" customHeight="1" x14ac:dyDescent="0.25">
      <c r="A166" s="171" t="s">
        <v>431</v>
      </c>
      <c r="B166" s="93">
        <v>180000</v>
      </c>
      <c r="C166" s="93">
        <v>150000</v>
      </c>
      <c r="D166" s="93">
        <f t="shared" si="8"/>
        <v>95850</v>
      </c>
      <c r="E166" s="93">
        <v>84150</v>
      </c>
      <c r="F166" s="88" t="s">
        <v>432</v>
      </c>
      <c r="G166" s="89" t="s">
        <v>433</v>
      </c>
      <c r="H166" s="90" t="s">
        <v>69</v>
      </c>
      <c r="I166" s="91"/>
      <c r="J166" s="105" t="s">
        <v>328</v>
      </c>
      <c r="K166" s="91"/>
      <c r="L166" s="91"/>
      <c r="M166" s="91"/>
      <c r="N166" s="91"/>
      <c r="O166" s="79"/>
      <c r="P166" s="42"/>
      <c r="Q166" s="42"/>
      <c r="R166" s="42"/>
      <c r="S166" s="42"/>
      <c r="T166" s="42"/>
      <c r="U166" s="42"/>
      <c r="V166" s="42"/>
      <c r="W166" s="42"/>
      <c r="X166" s="42"/>
      <c r="Y166" s="42"/>
      <c r="Z166" s="42"/>
    </row>
    <row r="167" spans="1:26" ht="15.75" customHeight="1" x14ac:dyDescent="0.25">
      <c r="A167" s="171" t="s">
        <v>6</v>
      </c>
      <c r="B167" s="93">
        <v>350000</v>
      </c>
      <c r="C167" s="93">
        <v>150000</v>
      </c>
      <c r="D167" s="93">
        <v>350000</v>
      </c>
      <c r="E167" s="93">
        <v>0</v>
      </c>
      <c r="F167" s="88" t="s">
        <v>434</v>
      </c>
      <c r="G167" s="89" t="s">
        <v>430</v>
      </c>
      <c r="H167" s="90" t="s">
        <v>69</v>
      </c>
      <c r="I167" s="91"/>
      <c r="J167" s="127" t="s">
        <v>427</v>
      </c>
      <c r="K167" s="91"/>
      <c r="L167" s="91"/>
      <c r="M167" s="91"/>
      <c r="N167" s="91"/>
      <c r="O167" s="79"/>
      <c r="P167" s="109"/>
      <c r="Q167" s="109"/>
      <c r="R167" s="109"/>
      <c r="S167" s="109"/>
      <c r="T167" s="109"/>
      <c r="U167" s="109"/>
      <c r="V167" s="109"/>
      <c r="W167" s="109"/>
      <c r="X167" s="109"/>
      <c r="Y167" s="109"/>
      <c r="Z167" s="109"/>
    </row>
    <row r="168" spans="1:26" ht="15.75" customHeight="1" x14ac:dyDescent="0.25">
      <c r="A168" s="171" t="s">
        <v>435</v>
      </c>
      <c r="B168" s="93">
        <v>300000</v>
      </c>
      <c r="C168" s="93">
        <v>190000</v>
      </c>
      <c r="D168" s="93">
        <v>45850</v>
      </c>
      <c r="E168" s="93">
        <v>254150</v>
      </c>
      <c r="F168" s="88" t="s">
        <v>436</v>
      </c>
      <c r="G168" s="89" t="s">
        <v>430</v>
      </c>
      <c r="H168" s="90" t="s">
        <v>69</v>
      </c>
      <c r="I168" s="91"/>
      <c r="J168" s="127" t="s">
        <v>427</v>
      </c>
      <c r="K168" s="91"/>
      <c r="L168" s="91"/>
      <c r="M168" s="91"/>
      <c r="N168" s="91"/>
      <c r="O168" s="79"/>
      <c r="P168" s="109"/>
      <c r="Q168" s="109"/>
      <c r="R168" s="109"/>
      <c r="S168" s="109"/>
      <c r="T168" s="109"/>
      <c r="U168" s="109"/>
      <c r="V168" s="109"/>
      <c r="W168" s="109"/>
      <c r="X168" s="109"/>
      <c r="Y168" s="109"/>
      <c r="Z168" s="109"/>
    </row>
    <row r="169" spans="1:26" ht="15.75" customHeight="1" x14ac:dyDescent="0.25">
      <c r="A169" s="171" t="s">
        <v>437</v>
      </c>
      <c r="B169" s="93">
        <v>240000</v>
      </c>
      <c r="C169" s="93">
        <v>190000</v>
      </c>
      <c r="D169" s="93">
        <v>70850</v>
      </c>
      <c r="E169" s="93">
        <v>169150</v>
      </c>
      <c r="F169" s="88" t="s">
        <v>438</v>
      </c>
      <c r="G169" s="89" t="s">
        <v>430</v>
      </c>
      <c r="H169" s="90" t="s">
        <v>69</v>
      </c>
      <c r="I169" s="91"/>
      <c r="J169" s="127" t="s">
        <v>427</v>
      </c>
      <c r="K169" s="91"/>
      <c r="L169" s="91"/>
      <c r="M169" s="91"/>
      <c r="N169" s="91"/>
      <c r="O169" s="79"/>
      <c r="P169" s="109"/>
      <c r="Q169" s="109"/>
      <c r="R169" s="109"/>
      <c r="S169" s="109"/>
      <c r="T169" s="109"/>
      <c r="U169" s="109"/>
      <c r="V169" s="109"/>
      <c r="W169" s="109"/>
      <c r="X169" s="109"/>
      <c r="Y169" s="109"/>
      <c r="Z169" s="109"/>
    </row>
    <row r="170" spans="1:26" ht="15.75" customHeight="1" x14ac:dyDescent="0.25">
      <c r="A170" s="171" t="s">
        <v>439</v>
      </c>
      <c r="B170" s="93">
        <v>450000</v>
      </c>
      <c r="C170" s="93">
        <v>230000</v>
      </c>
      <c r="D170" s="93">
        <v>110985</v>
      </c>
      <c r="E170" s="93">
        <v>339015</v>
      </c>
      <c r="F170" s="88" t="s">
        <v>440</v>
      </c>
      <c r="G170" s="89" t="s">
        <v>430</v>
      </c>
      <c r="H170" s="90" t="s">
        <v>69</v>
      </c>
      <c r="I170" s="91"/>
      <c r="J170" s="127" t="s">
        <v>441</v>
      </c>
      <c r="K170" s="91"/>
      <c r="L170" s="91"/>
      <c r="M170" s="91"/>
      <c r="N170" s="91"/>
      <c r="O170" s="79"/>
      <c r="P170" s="109"/>
      <c r="Q170" s="109"/>
      <c r="R170" s="109"/>
      <c r="S170" s="109"/>
      <c r="T170" s="109"/>
      <c r="U170" s="109"/>
      <c r="V170" s="109"/>
      <c r="W170" s="109"/>
      <c r="X170" s="109"/>
      <c r="Y170" s="109"/>
      <c r="Z170" s="109"/>
    </row>
    <row r="171" spans="1:26" ht="15.75" customHeight="1" x14ac:dyDescent="0.25">
      <c r="A171" s="172" t="s">
        <v>442</v>
      </c>
      <c r="B171" s="93">
        <v>480000</v>
      </c>
      <c r="C171" s="93">
        <v>230000</v>
      </c>
      <c r="D171" s="93">
        <v>182000</v>
      </c>
      <c r="E171" s="93">
        <v>298000</v>
      </c>
      <c r="F171" s="88" t="s">
        <v>443</v>
      </c>
      <c r="G171" s="89" t="s">
        <v>444</v>
      </c>
      <c r="H171" s="90" t="s">
        <v>69</v>
      </c>
      <c r="I171" s="91"/>
      <c r="J171" s="105" t="s">
        <v>328</v>
      </c>
      <c r="K171" s="91"/>
      <c r="L171" s="91"/>
      <c r="M171" s="91"/>
      <c r="N171" s="91"/>
      <c r="O171" s="79"/>
      <c r="P171" s="109"/>
      <c r="Q171" s="109"/>
      <c r="R171" s="109"/>
      <c r="S171" s="109"/>
      <c r="T171" s="109"/>
      <c r="U171" s="109"/>
      <c r="V171" s="109"/>
      <c r="W171" s="109"/>
      <c r="X171" s="109"/>
      <c r="Y171" s="109"/>
      <c r="Z171" s="109"/>
    </row>
    <row r="172" spans="1:26" ht="15.75" customHeight="1" x14ac:dyDescent="0.25">
      <c r="A172" s="171" t="s">
        <v>445</v>
      </c>
      <c r="B172" s="93">
        <v>480000</v>
      </c>
      <c r="C172" s="93">
        <v>230000</v>
      </c>
      <c r="D172" s="93">
        <v>211000</v>
      </c>
      <c r="E172" s="93">
        <v>269000</v>
      </c>
      <c r="F172" s="88" t="s">
        <v>446</v>
      </c>
      <c r="G172" s="89" t="s">
        <v>444</v>
      </c>
      <c r="H172" s="90" t="s">
        <v>69</v>
      </c>
      <c r="I172" s="91"/>
      <c r="J172" s="105" t="s">
        <v>328</v>
      </c>
      <c r="K172" s="91"/>
      <c r="L172" s="91"/>
      <c r="M172" s="91"/>
      <c r="N172" s="91"/>
      <c r="O172" s="79"/>
      <c r="P172" s="109"/>
      <c r="Q172" s="109"/>
      <c r="R172" s="109"/>
      <c r="S172" s="109"/>
      <c r="T172" s="109"/>
      <c r="U172" s="109"/>
      <c r="V172" s="109"/>
      <c r="W172" s="109"/>
      <c r="X172" s="109"/>
      <c r="Y172" s="109"/>
      <c r="Z172" s="109"/>
    </row>
    <row r="173" spans="1:26" ht="15.75" customHeight="1" x14ac:dyDescent="0.25">
      <c r="A173" s="171" t="s">
        <v>447</v>
      </c>
      <c r="B173" s="93">
        <v>480000</v>
      </c>
      <c r="C173" s="93">
        <v>230000</v>
      </c>
      <c r="D173" s="93">
        <v>-59000</v>
      </c>
      <c r="E173" s="93">
        <v>539000</v>
      </c>
      <c r="F173" s="88" t="s">
        <v>448</v>
      </c>
      <c r="G173" s="89" t="s">
        <v>444</v>
      </c>
      <c r="H173" s="90" t="s">
        <v>69</v>
      </c>
      <c r="I173" s="91"/>
      <c r="J173" s="105" t="s">
        <v>328</v>
      </c>
      <c r="K173" s="91"/>
      <c r="L173" s="91"/>
      <c r="M173" s="91"/>
      <c r="N173" s="91"/>
      <c r="O173" s="79"/>
      <c r="P173" s="109"/>
      <c r="Q173" s="109"/>
      <c r="R173" s="109"/>
      <c r="S173" s="109"/>
      <c r="T173" s="109"/>
      <c r="U173" s="109"/>
      <c r="V173" s="109"/>
      <c r="W173" s="109"/>
      <c r="X173" s="109"/>
      <c r="Y173" s="109"/>
      <c r="Z173" s="109"/>
    </row>
    <row r="174" spans="1:26" ht="15.75" customHeight="1" x14ac:dyDescent="0.25">
      <c r="A174" s="171" t="s">
        <v>449</v>
      </c>
      <c r="B174" s="93">
        <v>480000</v>
      </c>
      <c r="C174" s="93">
        <v>230000</v>
      </c>
      <c r="D174" s="93">
        <v>268000</v>
      </c>
      <c r="E174" s="93">
        <v>212000</v>
      </c>
      <c r="F174" s="88" t="s">
        <v>450</v>
      </c>
      <c r="G174" s="89" t="s">
        <v>444</v>
      </c>
      <c r="H174" s="90" t="s">
        <v>69</v>
      </c>
      <c r="I174" s="91"/>
      <c r="J174" s="105" t="s">
        <v>328</v>
      </c>
      <c r="K174" s="91"/>
      <c r="L174" s="91"/>
      <c r="M174" s="91"/>
      <c r="N174" s="91"/>
      <c r="O174" s="79"/>
      <c r="P174" s="42"/>
      <c r="Q174" s="42"/>
      <c r="R174" s="42"/>
      <c r="S174" s="42"/>
      <c r="T174" s="42"/>
      <c r="U174" s="42"/>
      <c r="V174" s="42"/>
      <c r="W174" s="42"/>
      <c r="X174" s="42"/>
      <c r="Y174" s="42"/>
      <c r="Z174" s="42"/>
    </row>
    <row r="175" spans="1:26" ht="15.75" customHeight="1" x14ac:dyDescent="0.25">
      <c r="A175" s="171" t="s">
        <v>451</v>
      </c>
      <c r="B175" s="93">
        <v>480000</v>
      </c>
      <c r="C175" s="93">
        <v>230000</v>
      </c>
      <c r="D175" s="93">
        <v>303000</v>
      </c>
      <c r="E175" s="93">
        <v>177000</v>
      </c>
      <c r="F175" s="88" t="s">
        <v>452</v>
      </c>
      <c r="G175" s="89" t="s">
        <v>444</v>
      </c>
      <c r="H175" s="90" t="s">
        <v>69</v>
      </c>
      <c r="I175" s="91"/>
      <c r="J175" s="105" t="s">
        <v>328</v>
      </c>
      <c r="K175" s="91"/>
      <c r="L175" s="91"/>
      <c r="M175" s="91"/>
      <c r="N175" s="91"/>
      <c r="O175" s="79"/>
      <c r="P175" s="42"/>
      <c r="Q175" s="42"/>
      <c r="R175" s="42"/>
      <c r="S175" s="42"/>
      <c r="T175" s="42"/>
      <c r="U175" s="42"/>
      <c r="V175" s="42"/>
      <c r="W175" s="42"/>
      <c r="X175" s="42"/>
      <c r="Y175" s="42"/>
      <c r="Z175" s="42"/>
    </row>
    <row r="176" spans="1:26" ht="15.75" customHeight="1" x14ac:dyDescent="0.25">
      <c r="A176" s="171" t="s">
        <v>453</v>
      </c>
      <c r="B176" s="93">
        <v>830000</v>
      </c>
      <c r="C176" s="93">
        <v>230000</v>
      </c>
      <c r="D176" s="93">
        <v>249000</v>
      </c>
      <c r="E176" s="93">
        <v>581000</v>
      </c>
      <c r="F176" s="88" t="s">
        <v>454</v>
      </c>
      <c r="G176" s="89" t="s">
        <v>444</v>
      </c>
      <c r="H176" s="90" t="s">
        <v>69</v>
      </c>
      <c r="I176" s="91"/>
      <c r="J176" s="105" t="s">
        <v>328</v>
      </c>
      <c r="K176" s="91"/>
      <c r="L176" s="91"/>
      <c r="M176" s="91"/>
      <c r="N176" s="91"/>
      <c r="O176" s="79"/>
      <c r="P176" s="42"/>
      <c r="Q176" s="42"/>
      <c r="R176" s="42"/>
      <c r="S176" s="42"/>
      <c r="T176" s="42"/>
      <c r="U176" s="42"/>
      <c r="V176" s="42"/>
      <c r="W176" s="42"/>
      <c r="X176" s="42"/>
      <c r="Y176" s="42"/>
      <c r="Z176" s="42"/>
    </row>
    <row r="177" spans="1:26" ht="15.75" customHeight="1" x14ac:dyDescent="0.25">
      <c r="A177" s="171" t="s">
        <v>455</v>
      </c>
      <c r="B177" s="93">
        <v>830000</v>
      </c>
      <c r="C177" s="93">
        <v>230000</v>
      </c>
      <c r="D177" s="93">
        <v>297000</v>
      </c>
      <c r="E177" s="93">
        <v>533000</v>
      </c>
      <c r="F177" s="88" t="s">
        <v>456</v>
      </c>
      <c r="G177" s="89" t="s">
        <v>444</v>
      </c>
      <c r="H177" s="90" t="s">
        <v>69</v>
      </c>
      <c r="I177" s="91"/>
      <c r="J177" s="105" t="s">
        <v>328</v>
      </c>
      <c r="K177" s="91"/>
      <c r="L177" s="91"/>
      <c r="M177" s="91"/>
      <c r="N177" s="91"/>
      <c r="O177" s="79"/>
      <c r="P177" s="42"/>
      <c r="Q177" s="42"/>
      <c r="R177" s="42"/>
      <c r="S177" s="42"/>
      <c r="T177" s="42"/>
      <c r="U177" s="42"/>
      <c r="V177" s="42"/>
      <c r="W177" s="42"/>
      <c r="X177" s="42"/>
      <c r="Y177" s="42"/>
      <c r="Z177" s="42"/>
    </row>
    <row r="178" spans="1:26" ht="15.75" customHeight="1" x14ac:dyDescent="0.25">
      <c r="A178" s="171" t="s">
        <v>457</v>
      </c>
      <c r="B178" s="93">
        <v>830000</v>
      </c>
      <c r="C178" s="93">
        <v>230000</v>
      </c>
      <c r="D178" s="93">
        <v>291000</v>
      </c>
      <c r="E178" s="93">
        <v>539000</v>
      </c>
      <c r="F178" s="88" t="s">
        <v>448</v>
      </c>
      <c r="G178" s="89" t="s">
        <v>444</v>
      </c>
      <c r="H178" s="90" t="s">
        <v>69</v>
      </c>
      <c r="I178" s="91"/>
      <c r="J178" s="105" t="s">
        <v>328</v>
      </c>
      <c r="K178" s="91"/>
      <c r="L178" s="91"/>
      <c r="M178" s="91"/>
      <c r="N178" s="91"/>
      <c r="O178" s="79"/>
      <c r="P178" s="42"/>
      <c r="Q178" s="42"/>
      <c r="R178" s="42"/>
      <c r="S178" s="42"/>
      <c r="T178" s="42"/>
      <c r="U178" s="42"/>
      <c r="V178" s="42"/>
      <c r="W178" s="42"/>
      <c r="X178" s="42"/>
      <c r="Y178" s="42"/>
      <c r="Z178" s="42"/>
    </row>
    <row r="179" spans="1:26" ht="15.75" customHeight="1" x14ac:dyDescent="0.25">
      <c r="A179" s="92" t="s">
        <v>458</v>
      </c>
      <c r="B179" s="93">
        <v>830000</v>
      </c>
      <c r="C179" s="93">
        <v>230000</v>
      </c>
      <c r="D179" s="93">
        <v>449000</v>
      </c>
      <c r="E179" s="93">
        <v>381000</v>
      </c>
      <c r="F179" s="89" t="s">
        <v>459</v>
      </c>
      <c r="G179" s="89" t="s">
        <v>444</v>
      </c>
      <c r="H179" s="90" t="s">
        <v>69</v>
      </c>
      <c r="I179" s="91"/>
      <c r="J179" s="105" t="s">
        <v>328</v>
      </c>
      <c r="K179" s="91"/>
      <c r="L179" s="91"/>
      <c r="M179" s="91"/>
      <c r="N179" s="91"/>
      <c r="O179" s="79"/>
      <c r="P179" s="42"/>
      <c r="Q179" s="42"/>
      <c r="R179" s="42"/>
      <c r="S179" s="42"/>
      <c r="T179" s="42"/>
      <c r="U179" s="42"/>
      <c r="V179" s="42"/>
      <c r="W179" s="42"/>
      <c r="X179" s="42"/>
      <c r="Y179" s="42"/>
      <c r="Z179" s="42"/>
    </row>
    <row r="180" spans="1:26" ht="15.75" customHeight="1" x14ac:dyDescent="0.25">
      <c r="A180" s="92" t="s">
        <v>460</v>
      </c>
      <c r="B180" s="93">
        <v>830000</v>
      </c>
      <c r="C180" s="93">
        <v>230000</v>
      </c>
      <c r="D180" s="93">
        <v>486000</v>
      </c>
      <c r="E180" s="93">
        <v>344000</v>
      </c>
      <c r="F180" s="89" t="s">
        <v>459</v>
      </c>
      <c r="G180" s="89" t="s">
        <v>444</v>
      </c>
      <c r="H180" s="90" t="s">
        <v>69</v>
      </c>
      <c r="I180" s="91"/>
      <c r="J180" s="105" t="s">
        <v>328</v>
      </c>
      <c r="K180" s="91"/>
      <c r="L180" s="91"/>
      <c r="M180" s="91"/>
      <c r="N180" s="91"/>
      <c r="O180" s="79"/>
      <c r="P180" s="42"/>
      <c r="Q180" s="42"/>
      <c r="R180" s="42"/>
      <c r="S180" s="42"/>
      <c r="T180" s="42"/>
      <c r="U180" s="42"/>
      <c r="V180" s="42"/>
      <c r="W180" s="42"/>
      <c r="X180" s="42"/>
      <c r="Y180" s="42"/>
      <c r="Z180" s="42"/>
    </row>
    <row r="181" spans="1:26" ht="15.75" customHeight="1" x14ac:dyDescent="0.25">
      <c r="A181" s="92" t="s">
        <v>461</v>
      </c>
      <c r="B181" s="93">
        <v>1015000</v>
      </c>
      <c r="C181" s="93">
        <v>300000</v>
      </c>
      <c r="D181" s="93">
        <v>220960</v>
      </c>
      <c r="E181" s="93">
        <v>794040</v>
      </c>
      <c r="F181" s="89" t="s">
        <v>459</v>
      </c>
      <c r="G181" s="89" t="s">
        <v>444</v>
      </c>
      <c r="H181" s="90" t="s">
        <v>69</v>
      </c>
      <c r="I181" s="91"/>
      <c r="J181" s="105" t="s">
        <v>462</v>
      </c>
      <c r="K181" s="91"/>
      <c r="L181" s="91"/>
      <c r="M181" s="91"/>
      <c r="N181" s="91"/>
      <c r="O181" s="79"/>
      <c r="P181" s="42"/>
      <c r="Q181" s="42"/>
      <c r="R181" s="42"/>
      <c r="S181" s="42"/>
      <c r="T181" s="42"/>
      <c r="U181" s="42"/>
      <c r="V181" s="42"/>
      <c r="W181" s="42"/>
      <c r="X181" s="42"/>
      <c r="Y181" s="42"/>
      <c r="Z181" s="42"/>
    </row>
    <row r="182" spans="1:26" ht="15.75" customHeight="1" x14ac:dyDescent="0.25">
      <c r="A182" s="92" t="s">
        <v>463</v>
      </c>
      <c r="B182" s="93">
        <v>490000</v>
      </c>
      <c r="C182" s="93">
        <v>230000</v>
      </c>
      <c r="D182" s="93">
        <v>320000</v>
      </c>
      <c r="E182" s="93">
        <v>170000</v>
      </c>
      <c r="F182" s="89" t="s">
        <v>459</v>
      </c>
      <c r="G182" s="89" t="s">
        <v>464</v>
      </c>
      <c r="H182" s="90" t="s">
        <v>69</v>
      </c>
      <c r="I182" s="91"/>
      <c r="J182" s="105" t="s">
        <v>465</v>
      </c>
      <c r="K182" s="91"/>
      <c r="L182" s="91"/>
      <c r="M182" s="91"/>
      <c r="N182" s="91"/>
      <c r="O182" s="79"/>
      <c r="P182" s="109"/>
      <c r="Q182" s="109"/>
      <c r="R182" s="109"/>
      <c r="S182" s="109"/>
      <c r="T182" s="109"/>
      <c r="U182" s="109"/>
      <c r="V182" s="109"/>
      <c r="W182" s="109"/>
      <c r="X182" s="109"/>
      <c r="Y182" s="109"/>
      <c r="Z182" s="109"/>
    </row>
    <row r="183" spans="1:26" ht="15.75" customHeight="1" x14ac:dyDescent="0.25">
      <c r="A183" s="92" t="s">
        <v>466</v>
      </c>
      <c r="B183" s="93">
        <v>700000</v>
      </c>
      <c r="C183" s="93">
        <v>150000</v>
      </c>
      <c r="D183" s="93">
        <v>700000</v>
      </c>
      <c r="E183" s="93">
        <v>0</v>
      </c>
      <c r="F183" s="89" t="s">
        <v>459</v>
      </c>
      <c r="G183" s="89" t="s">
        <v>430</v>
      </c>
      <c r="H183" s="90" t="s">
        <v>69</v>
      </c>
      <c r="I183" s="91"/>
      <c r="J183" s="127" t="s">
        <v>427</v>
      </c>
      <c r="K183" s="91"/>
      <c r="L183" s="91"/>
      <c r="M183" s="91"/>
      <c r="N183" s="91"/>
      <c r="O183" s="79"/>
      <c r="P183" s="109"/>
      <c r="Q183" s="109"/>
      <c r="R183" s="109"/>
      <c r="S183" s="109"/>
      <c r="T183" s="109"/>
      <c r="U183" s="109"/>
      <c r="V183" s="109"/>
      <c r="W183" s="109"/>
      <c r="X183" s="109"/>
      <c r="Y183" s="109"/>
      <c r="Z183" s="109"/>
    </row>
    <row r="184" spans="1:26" ht="15.75" customHeight="1" x14ac:dyDescent="0.25">
      <c r="A184" s="92" t="s">
        <v>467</v>
      </c>
      <c r="B184" s="93">
        <v>437000</v>
      </c>
      <c r="C184" s="93">
        <v>150000</v>
      </c>
      <c r="D184" s="93">
        <v>125985</v>
      </c>
      <c r="E184" s="93">
        <v>254015</v>
      </c>
      <c r="F184" s="89" t="s">
        <v>459</v>
      </c>
      <c r="G184" s="89" t="s">
        <v>433</v>
      </c>
      <c r="H184" s="90" t="s">
        <v>69</v>
      </c>
      <c r="I184" s="91"/>
      <c r="J184" s="105" t="s">
        <v>328</v>
      </c>
      <c r="K184" s="91"/>
      <c r="L184" s="91"/>
      <c r="M184" s="91"/>
      <c r="N184" s="91"/>
      <c r="O184" s="79"/>
      <c r="P184" s="109"/>
      <c r="Q184" s="109"/>
      <c r="R184" s="109"/>
      <c r="S184" s="109"/>
      <c r="T184" s="109"/>
      <c r="U184" s="109"/>
      <c r="V184" s="109"/>
      <c r="W184" s="109"/>
      <c r="X184" s="109"/>
      <c r="Y184" s="109"/>
      <c r="Z184" s="109"/>
    </row>
    <row r="185" spans="1:26" ht="15.75" customHeight="1" x14ac:dyDescent="0.25">
      <c r="A185" s="92" t="s">
        <v>468</v>
      </c>
      <c r="B185" s="93">
        <v>400000</v>
      </c>
      <c r="C185" s="93">
        <v>230000</v>
      </c>
      <c r="D185" s="93">
        <v>262400</v>
      </c>
      <c r="E185" s="93">
        <v>137600</v>
      </c>
      <c r="F185" s="89" t="s">
        <v>459</v>
      </c>
      <c r="G185" s="89" t="s">
        <v>430</v>
      </c>
      <c r="H185" s="90" t="s">
        <v>69</v>
      </c>
      <c r="I185" s="91"/>
      <c r="J185" s="91"/>
      <c r="K185" s="91"/>
      <c r="L185" s="91"/>
      <c r="M185" s="91"/>
      <c r="N185" s="91"/>
      <c r="O185" s="79"/>
      <c r="P185" s="109"/>
      <c r="Q185" s="109"/>
      <c r="R185" s="109"/>
      <c r="S185" s="109"/>
      <c r="T185" s="109"/>
      <c r="U185" s="109"/>
      <c r="V185" s="109"/>
      <c r="W185" s="109"/>
      <c r="X185" s="109"/>
      <c r="Y185" s="109"/>
      <c r="Z185" s="109"/>
    </row>
    <row r="186" spans="1:26" ht="15.75" customHeight="1" x14ac:dyDescent="0.25">
      <c r="A186" s="92" t="s">
        <v>469</v>
      </c>
      <c r="B186" s="93">
        <v>500000</v>
      </c>
      <c r="C186" s="93">
        <v>300000</v>
      </c>
      <c r="D186" s="93">
        <v>160985</v>
      </c>
      <c r="E186" s="93">
        <v>339015</v>
      </c>
      <c r="F186" s="89" t="s">
        <v>459</v>
      </c>
      <c r="G186" s="89" t="s">
        <v>430</v>
      </c>
      <c r="H186" s="90" t="s">
        <v>69</v>
      </c>
      <c r="I186" s="91"/>
      <c r="J186" s="105" t="s">
        <v>470</v>
      </c>
      <c r="K186" s="91"/>
      <c r="L186" s="91"/>
      <c r="M186" s="91"/>
      <c r="N186" s="91"/>
      <c r="O186" s="79"/>
      <c r="P186" s="109"/>
      <c r="Q186" s="109"/>
      <c r="R186" s="109"/>
      <c r="S186" s="109"/>
      <c r="T186" s="109"/>
      <c r="U186" s="109"/>
      <c r="V186" s="109"/>
      <c r="W186" s="109"/>
      <c r="X186" s="109"/>
      <c r="Y186" s="109"/>
      <c r="Z186" s="109"/>
    </row>
    <row r="187" spans="1:26" ht="15.75" customHeight="1" x14ac:dyDescent="0.25">
      <c r="A187" s="92" t="s">
        <v>471</v>
      </c>
      <c r="B187" s="93">
        <v>110000</v>
      </c>
      <c r="C187" s="93">
        <v>90000</v>
      </c>
      <c r="D187" s="93">
        <v>50000</v>
      </c>
      <c r="E187" s="93">
        <v>60000</v>
      </c>
      <c r="F187" s="88" t="s">
        <v>472</v>
      </c>
      <c r="G187" s="89" t="s">
        <v>473</v>
      </c>
      <c r="H187" s="90" t="s">
        <v>69</v>
      </c>
      <c r="I187" s="91"/>
      <c r="J187" s="105" t="s">
        <v>462</v>
      </c>
      <c r="K187" s="91"/>
      <c r="L187" s="91"/>
      <c r="M187" s="91"/>
      <c r="N187" s="91"/>
      <c r="O187" s="79"/>
      <c r="P187" s="109"/>
      <c r="Q187" s="109"/>
      <c r="R187" s="109"/>
      <c r="S187" s="109"/>
      <c r="T187" s="109"/>
      <c r="U187" s="109"/>
      <c r="V187" s="109"/>
      <c r="W187" s="109"/>
      <c r="X187" s="109"/>
      <c r="Y187" s="109"/>
      <c r="Z187" s="109"/>
    </row>
    <row r="188" spans="1:26" ht="15.75" customHeight="1" x14ac:dyDescent="0.25">
      <c r="A188" s="92" t="s">
        <v>474</v>
      </c>
      <c r="B188" s="93">
        <v>300000</v>
      </c>
      <c r="C188" s="93">
        <v>230000</v>
      </c>
      <c r="D188" s="93">
        <v>100000</v>
      </c>
      <c r="E188" s="93">
        <v>200000</v>
      </c>
      <c r="F188" s="88" t="s">
        <v>475</v>
      </c>
      <c r="G188" s="89" t="s">
        <v>476</v>
      </c>
      <c r="H188" s="90" t="s">
        <v>69</v>
      </c>
      <c r="I188" s="91"/>
      <c r="J188" s="91"/>
      <c r="K188" s="91"/>
      <c r="L188" s="91"/>
      <c r="M188" s="91"/>
      <c r="N188" s="91"/>
      <c r="O188" s="79"/>
      <c r="P188" s="42"/>
      <c r="Q188" s="42"/>
      <c r="R188" s="42"/>
      <c r="S188" s="42"/>
      <c r="T188" s="42"/>
      <c r="U188" s="42"/>
      <c r="V188" s="42"/>
      <c r="W188" s="42"/>
      <c r="X188" s="42"/>
      <c r="Y188" s="42"/>
      <c r="Z188" s="42"/>
    </row>
    <row r="189" spans="1:26" ht="15.75" customHeight="1" x14ac:dyDescent="0.25">
      <c r="A189" s="92" t="s">
        <v>477</v>
      </c>
      <c r="B189" s="93">
        <v>210000</v>
      </c>
      <c r="C189" s="93">
        <v>65000</v>
      </c>
      <c r="D189" s="93">
        <v>210000</v>
      </c>
      <c r="E189" s="93">
        <v>0</v>
      </c>
      <c r="F189" s="88" t="s">
        <v>478</v>
      </c>
      <c r="G189" s="89" t="s">
        <v>479</v>
      </c>
      <c r="H189" s="90" t="s">
        <v>69</v>
      </c>
      <c r="I189" s="91"/>
      <c r="J189" s="91"/>
      <c r="K189" s="91"/>
      <c r="L189" s="91"/>
      <c r="M189" s="91"/>
      <c r="N189" s="91"/>
      <c r="O189" s="79"/>
      <c r="P189" s="42"/>
      <c r="Q189" s="42"/>
      <c r="R189" s="42"/>
      <c r="S189" s="42"/>
      <c r="T189" s="42"/>
      <c r="U189" s="42"/>
      <c r="V189" s="42"/>
      <c r="W189" s="42"/>
      <c r="X189" s="42"/>
      <c r="Y189" s="42"/>
      <c r="Z189" s="42"/>
    </row>
    <row r="190" spans="1:26" ht="15.75" customHeight="1" x14ac:dyDescent="0.25">
      <c r="A190" s="92" t="s">
        <v>480</v>
      </c>
      <c r="B190" s="93">
        <v>210000</v>
      </c>
      <c r="C190" s="93">
        <v>63000</v>
      </c>
      <c r="D190" s="93">
        <v>210000</v>
      </c>
      <c r="E190" s="93">
        <v>0</v>
      </c>
      <c r="F190" s="89" t="s">
        <v>481</v>
      </c>
      <c r="G190" s="89" t="s">
        <v>303</v>
      </c>
      <c r="H190" s="90" t="s">
        <v>69</v>
      </c>
      <c r="I190" s="91"/>
      <c r="J190" s="91"/>
      <c r="K190" s="91"/>
      <c r="L190" s="91"/>
      <c r="M190" s="91"/>
      <c r="N190" s="91"/>
      <c r="O190" s="79"/>
      <c r="P190" s="42"/>
      <c r="Q190" s="42"/>
      <c r="R190" s="42"/>
      <c r="S190" s="42"/>
      <c r="T190" s="42"/>
      <c r="U190" s="42"/>
      <c r="V190" s="42"/>
      <c r="W190" s="42"/>
      <c r="X190" s="42"/>
      <c r="Y190" s="42"/>
      <c r="Z190" s="42"/>
    </row>
    <row r="191" spans="1:26" ht="15.75" customHeight="1" x14ac:dyDescent="0.25">
      <c r="A191" s="92" t="s">
        <v>482</v>
      </c>
      <c r="B191" s="93">
        <v>300000</v>
      </c>
      <c r="C191" s="93">
        <v>117000</v>
      </c>
      <c r="D191" s="93">
        <v>300000</v>
      </c>
      <c r="E191" s="93">
        <v>0</v>
      </c>
      <c r="F191" s="89" t="s">
        <v>478</v>
      </c>
      <c r="G191" s="89" t="s">
        <v>479</v>
      </c>
      <c r="H191" s="90" t="s">
        <v>69</v>
      </c>
      <c r="I191" s="91"/>
      <c r="J191" s="91"/>
      <c r="K191" s="91"/>
      <c r="L191" s="91"/>
      <c r="M191" s="91"/>
      <c r="N191" s="91"/>
      <c r="O191" s="79"/>
      <c r="P191" s="42"/>
      <c r="Q191" s="42"/>
      <c r="R191" s="42"/>
      <c r="S191" s="42"/>
      <c r="T191" s="42"/>
      <c r="U191" s="42"/>
      <c r="V191" s="42"/>
      <c r="W191" s="42"/>
      <c r="X191" s="42"/>
      <c r="Y191" s="42"/>
      <c r="Z191" s="42"/>
    </row>
    <row r="192" spans="1:26" ht="15.75" customHeight="1" x14ac:dyDescent="0.25">
      <c r="A192" s="92" t="s">
        <v>483</v>
      </c>
      <c r="B192" s="93">
        <v>300000</v>
      </c>
      <c r="C192" s="93">
        <v>107000</v>
      </c>
      <c r="D192" s="93">
        <v>300000</v>
      </c>
      <c r="E192" s="93">
        <v>0</v>
      </c>
      <c r="F192" s="88" t="s">
        <v>481</v>
      </c>
      <c r="G192" s="89" t="s">
        <v>303</v>
      </c>
      <c r="H192" s="90" t="s">
        <v>69</v>
      </c>
      <c r="I192" s="91"/>
      <c r="J192" s="91"/>
      <c r="K192" s="91"/>
      <c r="L192" s="91"/>
      <c r="M192" s="91"/>
      <c r="N192" s="91"/>
      <c r="O192" s="79"/>
      <c r="P192" s="42"/>
      <c r="Q192" s="42"/>
      <c r="R192" s="42"/>
      <c r="S192" s="42"/>
      <c r="T192" s="42"/>
      <c r="U192" s="42"/>
      <c r="V192" s="42"/>
      <c r="W192" s="42"/>
      <c r="X192" s="42"/>
      <c r="Y192" s="42"/>
      <c r="Z192" s="42"/>
    </row>
    <row r="193" spans="1:26" ht="15.75" customHeight="1" x14ac:dyDescent="0.25">
      <c r="A193" s="92" t="s">
        <v>484</v>
      </c>
      <c r="B193" s="93">
        <v>300000</v>
      </c>
      <c r="C193" s="93">
        <v>117000</v>
      </c>
      <c r="D193" s="93">
        <v>300000</v>
      </c>
      <c r="E193" s="93">
        <v>0</v>
      </c>
      <c r="F193" s="89" t="s">
        <v>478</v>
      </c>
      <c r="G193" s="89" t="s">
        <v>479</v>
      </c>
      <c r="H193" s="90" t="s">
        <v>69</v>
      </c>
      <c r="I193" s="91"/>
      <c r="J193" s="91"/>
      <c r="K193" s="91"/>
      <c r="L193" s="91"/>
      <c r="M193" s="91"/>
      <c r="N193" s="91"/>
      <c r="O193" s="79"/>
      <c r="P193" s="42"/>
      <c r="Q193" s="42"/>
      <c r="R193" s="42"/>
      <c r="S193" s="42"/>
      <c r="T193" s="42"/>
      <c r="U193" s="42"/>
      <c r="V193" s="42"/>
      <c r="W193" s="42"/>
      <c r="X193" s="42"/>
      <c r="Y193" s="42"/>
      <c r="Z193" s="42"/>
    </row>
    <row r="194" spans="1:26" ht="15.75" customHeight="1" x14ac:dyDescent="0.25">
      <c r="A194" s="92" t="s">
        <v>485</v>
      </c>
      <c r="B194" s="93">
        <v>300000</v>
      </c>
      <c r="C194" s="93">
        <v>107000</v>
      </c>
      <c r="D194" s="93">
        <v>300000</v>
      </c>
      <c r="E194" s="93">
        <v>0</v>
      </c>
      <c r="F194" s="88" t="s">
        <v>481</v>
      </c>
      <c r="G194" s="89" t="s">
        <v>303</v>
      </c>
      <c r="H194" s="90" t="s">
        <v>69</v>
      </c>
      <c r="I194" s="91"/>
      <c r="J194" s="91"/>
      <c r="K194" s="91"/>
      <c r="L194" s="91"/>
      <c r="M194" s="91"/>
      <c r="N194" s="91"/>
      <c r="O194" s="79"/>
      <c r="P194" s="42"/>
      <c r="Q194" s="42"/>
      <c r="R194" s="42"/>
      <c r="S194" s="42"/>
      <c r="T194" s="42"/>
      <c r="U194" s="42"/>
      <c r="V194" s="42"/>
      <c r="W194" s="42"/>
      <c r="X194" s="42"/>
      <c r="Y194" s="42"/>
      <c r="Z194" s="42"/>
    </row>
    <row r="195" spans="1:26" ht="15.75" customHeight="1" x14ac:dyDescent="0.25">
      <c r="A195" s="173" t="s">
        <v>425</v>
      </c>
      <c r="B195" s="174">
        <v>700000</v>
      </c>
      <c r="C195" s="174">
        <v>190000</v>
      </c>
      <c r="D195" s="174">
        <f t="shared" ref="D195:D198" si="9">B195-E195</f>
        <v>700000</v>
      </c>
      <c r="E195" s="174">
        <v>0</v>
      </c>
      <c r="F195" s="322" t="s">
        <v>486</v>
      </c>
      <c r="G195" s="303"/>
      <c r="H195" s="303"/>
      <c r="I195" s="303"/>
      <c r="J195" s="303"/>
      <c r="K195" s="303"/>
      <c r="L195" s="303"/>
      <c r="M195" s="223"/>
      <c r="N195" s="175" t="s">
        <v>487</v>
      </c>
      <c r="O195" s="174">
        <v>0</v>
      </c>
      <c r="P195" s="42"/>
      <c r="Q195" s="42"/>
      <c r="R195" s="42"/>
      <c r="S195" s="42"/>
      <c r="T195" s="42"/>
      <c r="U195" s="42"/>
      <c r="V195" s="42"/>
      <c r="W195" s="42"/>
      <c r="X195" s="42"/>
      <c r="Y195" s="42"/>
      <c r="Z195" s="42"/>
    </row>
    <row r="196" spans="1:26" ht="15.75" customHeight="1" x14ac:dyDescent="0.25">
      <c r="A196" s="173" t="s">
        <v>428</v>
      </c>
      <c r="B196" s="174">
        <v>400000</v>
      </c>
      <c r="C196" s="174">
        <v>190000</v>
      </c>
      <c r="D196" s="174">
        <f t="shared" si="9"/>
        <v>145850</v>
      </c>
      <c r="E196" s="174">
        <v>254150</v>
      </c>
      <c r="F196" s="322" t="s">
        <v>488</v>
      </c>
      <c r="G196" s="303"/>
      <c r="H196" s="303"/>
      <c r="I196" s="303"/>
      <c r="J196" s="303"/>
      <c r="K196" s="303"/>
      <c r="L196" s="303"/>
      <c r="M196" s="223"/>
      <c r="N196" s="175" t="s">
        <v>487</v>
      </c>
      <c r="O196" s="174">
        <v>0</v>
      </c>
      <c r="P196" s="42"/>
      <c r="Q196" s="42"/>
      <c r="R196" s="42"/>
      <c r="S196" s="42"/>
      <c r="T196" s="42"/>
      <c r="U196" s="42"/>
      <c r="V196" s="42"/>
      <c r="W196" s="42"/>
      <c r="X196" s="42"/>
      <c r="Y196" s="42"/>
      <c r="Z196" s="42"/>
    </row>
    <row r="197" spans="1:26" ht="15.75" customHeight="1" x14ac:dyDescent="0.25">
      <c r="A197" s="173" t="s">
        <v>489</v>
      </c>
      <c r="B197" s="174">
        <v>350000</v>
      </c>
      <c r="C197" s="174">
        <v>300000</v>
      </c>
      <c r="D197" s="174">
        <f t="shared" si="9"/>
        <v>80000</v>
      </c>
      <c r="E197" s="174">
        <f>+C197-30000</f>
        <v>270000</v>
      </c>
      <c r="F197" s="322" t="s">
        <v>490</v>
      </c>
      <c r="G197" s="303"/>
      <c r="H197" s="303"/>
      <c r="I197" s="303"/>
      <c r="J197" s="303"/>
      <c r="K197" s="303"/>
      <c r="L197" s="303"/>
      <c r="M197" s="223"/>
      <c r="N197" s="166"/>
      <c r="O197" s="174">
        <v>0</v>
      </c>
      <c r="P197" s="42"/>
      <c r="Q197" s="42"/>
      <c r="R197" s="42"/>
      <c r="S197" s="42"/>
      <c r="T197" s="42"/>
      <c r="U197" s="42"/>
      <c r="V197" s="42"/>
      <c r="W197" s="42"/>
      <c r="X197" s="42"/>
      <c r="Y197" s="42"/>
      <c r="Z197" s="42"/>
    </row>
    <row r="198" spans="1:26" ht="15.75" customHeight="1" x14ac:dyDescent="0.25">
      <c r="A198" s="173" t="s">
        <v>491</v>
      </c>
      <c r="B198" s="174">
        <v>310000</v>
      </c>
      <c r="C198" s="174">
        <v>230000</v>
      </c>
      <c r="D198" s="174">
        <f t="shared" si="9"/>
        <v>106000</v>
      </c>
      <c r="E198" s="174">
        <v>204000</v>
      </c>
      <c r="F198" s="322" t="s">
        <v>492</v>
      </c>
      <c r="G198" s="303"/>
      <c r="H198" s="303"/>
      <c r="I198" s="303"/>
      <c r="J198" s="303"/>
      <c r="K198" s="303"/>
      <c r="L198" s="303"/>
      <c r="M198" s="223"/>
      <c r="N198" s="176" t="s">
        <v>493</v>
      </c>
      <c r="O198" s="174">
        <v>0</v>
      </c>
      <c r="P198" s="42"/>
      <c r="Q198" s="42"/>
      <c r="R198" s="42"/>
      <c r="S198" s="42"/>
      <c r="T198" s="42"/>
      <c r="U198" s="42"/>
      <c r="V198" s="42"/>
      <c r="W198" s="42"/>
      <c r="X198" s="42"/>
      <c r="Y198" s="42"/>
      <c r="Z198" s="42"/>
    </row>
    <row r="199" spans="1:26" ht="15.75" customHeight="1" x14ac:dyDescent="0.25">
      <c r="A199" s="173" t="s">
        <v>466</v>
      </c>
      <c r="B199" s="174">
        <v>700000</v>
      </c>
      <c r="C199" s="174">
        <v>150000</v>
      </c>
      <c r="D199" s="174">
        <v>700000</v>
      </c>
      <c r="E199" s="174">
        <v>0</v>
      </c>
      <c r="F199" s="322" t="s">
        <v>494</v>
      </c>
      <c r="G199" s="303"/>
      <c r="H199" s="303"/>
      <c r="I199" s="303"/>
      <c r="J199" s="303"/>
      <c r="K199" s="303"/>
      <c r="L199" s="303"/>
      <c r="M199" s="223"/>
      <c r="N199" s="176" t="s">
        <v>487</v>
      </c>
      <c r="O199" s="174">
        <v>0</v>
      </c>
      <c r="P199" s="42"/>
      <c r="Q199" s="42"/>
      <c r="R199" s="42"/>
      <c r="S199" s="42"/>
      <c r="T199" s="42"/>
      <c r="U199" s="42"/>
      <c r="V199" s="42"/>
      <c r="W199" s="42"/>
      <c r="X199" s="42"/>
      <c r="Y199" s="42"/>
      <c r="Z199" s="42"/>
    </row>
    <row r="200" spans="1:26" ht="15.75" customHeight="1" x14ac:dyDescent="0.25">
      <c r="A200" s="173" t="s">
        <v>467</v>
      </c>
      <c r="B200" s="174">
        <v>290000</v>
      </c>
      <c r="C200" s="174">
        <v>150000</v>
      </c>
      <c r="D200" s="174">
        <f t="shared" ref="D200:D203" si="10">B200-E200</f>
        <v>86000</v>
      </c>
      <c r="E200" s="174">
        <v>204000</v>
      </c>
      <c r="F200" s="322" t="s">
        <v>495</v>
      </c>
      <c r="G200" s="303"/>
      <c r="H200" s="303"/>
      <c r="I200" s="303"/>
      <c r="J200" s="303"/>
      <c r="K200" s="303"/>
      <c r="L200" s="303"/>
      <c r="M200" s="223"/>
      <c r="N200" s="176" t="s">
        <v>496</v>
      </c>
      <c r="O200" s="174">
        <v>0</v>
      </c>
      <c r="P200" s="42"/>
      <c r="Q200" s="42"/>
      <c r="R200" s="42"/>
      <c r="S200" s="42"/>
      <c r="T200" s="42"/>
      <c r="U200" s="42"/>
      <c r="V200" s="42"/>
      <c r="W200" s="42"/>
      <c r="X200" s="42"/>
      <c r="Y200" s="42"/>
      <c r="Z200" s="42"/>
    </row>
    <row r="201" spans="1:26" ht="15.75" customHeight="1" x14ac:dyDescent="0.25">
      <c r="A201" s="173" t="s">
        <v>469</v>
      </c>
      <c r="B201" s="174">
        <v>420000</v>
      </c>
      <c r="C201" s="174">
        <v>300000</v>
      </c>
      <c r="D201" s="174">
        <f t="shared" si="10"/>
        <v>116000</v>
      </c>
      <c r="E201" s="174">
        <v>304000</v>
      </c>
      <c r="F201" s="322" t="s">
        <v>497</v>
      </c>
      <c r="G201" s="303"/>
      <c r="H201" s="303"/>
      <c r="I201" s="303"/>
      <c r="J201" s="303"/>
      <c r="K201" s="303"/>
      <c r="L201" s="303"/>
      <c r="M201" s="223"/>
      <c r="N201" s="176" t="s">
        <v>498</v>
      </c>
      <c r="O201" s="174">
        <v>0</v>
      </c>
      <c r="P201" s="42"/>
      <c r="Q201" s="42"/>
      <c r="R201" s="42"/>
      <c r="S201" s="42"/>
      <c r="T201" s="42"/>
      <c r="U201" s="42"/>
      <c r="V201" s="42"/>
      <c r="W201" s="42"/>
      <c r="X201" s="42"/>
      <c r="Y201" s="42"/>
      <c r="Z201" s="42"/>
    </row>
    <row r="202" spans="1:26" ht="15.75" customHeight="1" x14ac:dyDescent="0.25">
      <c r="A202" s="173" t="s">
        <v>471</v>
      </c>
      <c r="B202" s="174">
        <v>110000</v>
      </c>
      <c r="C202" s="174">
        <v>90000</v>
      </c>
      <c r="D202" s="174">
        <f t="shared" si="10"/>
        <v>50000</v>
      </c>
      <c r="E202" s="174">
        <f t="shared" ref="E202:E203" si="11">+C202-30000</f>
        <v>60000</v>
      </c>
      <c r="F202" s="322" t="s">
        <v>499</v>
      </c>
      <c r="G202" s="303"/>
      <c r="H202" s="303"/>
      <c r="I202" s="303"/>
      <c r="J202" s="303"/>
      <c r="K202" s="303"/>
      <c r="L202" s="303"/>
      <c r="M202" s="223"/>
      <c r="N202" s="176" t="s">
        <v>500</v>
      </c>
      <c r="O202" s="174">
        <v>0</v>
      </c>
      <c r="P202" s="42"/>
      <c r="Q202" s="42"/>
      <c r="R202" s="42"/>
      <c r="S202" s="42"/>
      <c r="T202" s="42"/>
      <c r="U202" s="42"/>
      <c r="V202" s="42"/>
      <c r="W202" s="42"/>
      <c r="X202" s="42"/>
      <c r="Y202" s="42"/>
      <c r="Z202" s="42"/>
    </row>
    <row r="203" spans="1:26" ht="15.75" customHeight="1" x14ac:dyDescent="0.25">
      <c r="A203" s="173" t="s">
        <v>474</v>
      </c>
      <c r="B203" s="174">
        <v>300000</v>
      </c>
      <c r="C203" s="174">
        <v>230000</v>
      </c>
      <c r="D203" s="174">
        <f t="shared" si="10"/>
        <v>100000</v>
      </c>
      <c r="E203" s="174">
        <f t="shared" si="11"/>
        <v>200000</v>
      </c>
      <c r="F203" s="322" t="s">
        <v>501</v>
      </c>
      <c r="G203" s="303"/>
      <c r="H203" s="303"/>
      <c r="I203" s="303"/>
      <c r="J203" s="303"/>
      <c r="K203" s="303"/>
      <c r="L203" s="303"/>
      <c r="M203" s="223"/>
      <c r="N203" s="176" t="s">
        <v>502</v>
      </c>
      <c r="O203" s="174">
        <v>0</v>
      </c>
      <c r="P203" s="42"/>
      <c r="Q203" s="42"/>
      <c r="R203" s="42"/>
      <c r="S203" s="42"/>
      <c r="T203" s="42"/>
      <c r="U203" s="42"/>
      <c r="V203" s="42"/>
      <c r="W203" s="42"/>
      <c r="X203" s="42"/>
      <c r="Y203" s="42"/>
      <c r="Z203" s="42"/>
    </row>
    <row r="204" spans="1:26" ht="15.75" customHeight="1" x14ac:dyDescent="0.25">
      <c r="A204" s="177" t="s">
        <v>477</v>
      </c>
      <c r="B204" s="178">
        <v>180000</v>
      </c>
      <c r="C204" s="178">
        <v>65000</v>
      </c>
      <c r="D204" s="178">
        <f t="shared" ref="D204:D215" si="12">+B204</f>
        <v>180000</v>
      </c>
      <c r="E204" s="178">
        <v>0</v>
      </c>
      <c r="F204" s="323" t="s">
        <v>478</v>
      </c>
      <c r="G204" s="303"/>
      <c r="H204" s="303"/>
      <c r="I204" s="303"/>
      <c r="J204" s="303"/>
      <c r="K204" s="303"/>
      <c r="L204" s="303"/>
      <c r="M204" s="223"/>
      <c r="N204" s="176" t="s">
        <v>478</v>
      </c>
      <c r="O204" s="174">
        <v>0</v>
      </c>
      <c r="P204" s="42"/>
      <c r="Q204" s="42"/>
      <c r="R204" s="42"/>
      <c r="S204" s="42"/>
      <c r="T204" s="42"/>
      <c r="U204" s="42"/>
      <c r="V204" s="42"/>
      <c r="W204" s="42"/>
      <c r="X204" s="42"/>
      <c r="Y204" s="42"/>
      <c r="Z204" s="42"/>
    </row>
    <row r="205" spans="1:26" ht="15.75" customHeight="1" x14ac:dyDescent="0.25">
      <c r="A205" s="177" t="s">
        <v>480</v>
      </c>
      <c r="B205" s="178">
        <v>180000</v>
      </c>
      <c r="C205" s="178">
        <v>63000</v>
      </c>
      <c r="D205" s="178">
        <f t="shared" si="12"/>
        <v>180000</v>
      </c>
      <c r="E205" s="178">
        <v>95000</v>
      </c>
      <c r="F205" s="323" t="s">
        <v>503</v>
      </c>
      <c r="G205" s="303"/>
      <c r="H205" s="303"/>
      <c r="I205" s="303"/>
      <c r="J205" s="303"/>
      <c r="K205" s="303"/>
      <c r="L205" s="303"/>
      <c r="M205" s="223"/>
      <c r="N205" s="176" t="s">
        <v>503</v>
      </c>
      <c r="O205" s="174">
        <v>0</v>
      </c>
      <c r="P205" s="42"/>
      <c r="Q205" s="42"/>
      <c r="R205" s="42"/>
      <c r="S205" s="42"/>
      <c r="T205" s="42"/>
      <c r="U205" s="42"/>
      <c r="V205" s="42"/>
      <c r="W205" s="42"/>
      <c r="X205" s="42"/>
      <c r="Y205" s="42"/>
      <c r="Z205" s="42"/>
    </row>
    <row r="206" spans="1:26" ht="15.75" customHeight="1" x14ac:dyDescent="0.25">
      <c r="A206" s="177" t="s">
        <v>482</v>
      </c>
      <c r="B206" s="178">
        <v>240000</v>
      </c>
      <c r="C206" s="178">
        <v>117000</v>
      </c>
      <c r="D206" s="178">
        <f t="shared" si="12"/>
        <v>240000</v>
      </c>
      <c r="E206" s="178">
        <v>0</v>
      </c>
      <c r="F206" s="323" t="s">
        <v>478</v>
      </c>
      <c r="G206" s="303"/>
      <c r="H206" s="303"/>
      <c r="I206" s="303"/>
      <c r="J206" s="303"/>
      <c r="K206" s="303"/>
      <c r="L206" s="303"/>
      <c r="M206" s="223"/>
      <c r="N206" s="176" t="s">
        <v>478</v>
      </c>
      <c r="O206" s="174">
        <v>0</v>
      </c>
      <c r="P206" s="42"/>
      <c r="Q206" s="42"/>
      <c r="R206" s="42"/>
      <c r="S206" s="42"/>
      <c r="T206" s="42"/>
      <c r="U206" s="42"/>
      <c r="V206" s="42"/>
      <c r="W206" s="42"/>
      <c r="X206" s="42"/>
      <c r="Y206" s="42"/>
      <c r="Z206" s="42"/>
    </row>
    <row r="207" spans="1:26" ht="15.75" customHeight="1" x14ac:dyDescent="0.25">
      <c r="A207" s="177" t="s">
        <v>483</v>
      </c>
      <c r="B207" s="178">
        <v>240000</v>
      </c>
      <c r="C207" s="178">
        <v>107000</v>
      </c>
      <c r="D207" s="178">
        <f t="shared" si="12"/>
        <v>240000</v>
      </c>
      <c r="E207" s="178">
        <v>163000</v>
      </c>
      <c r="F207" s="174" t="s">
        <v>503</v>
      </c>
      <c r="G207" s="144"/>
      <c r="H207" s="144"/>
      <c r="I207" s="144"/>
      <c r="J207" s="144"/>
      <c r="K207" s="144"/>
      <c r="L207" s="144"/>
      <c r="M207" s="144"/>
      <c r="N207" s="176" t="s">
        <v>503</v>
      </c>
      <c r="O207" s="174">
        <v>0</v>
      </c>
      <c r="P207" s="42"/>
      <c r="Q207" s="42"/>
      <c r="R207" s="42"/>
      <c r="S207" s="42"/>
      <c r="T207" s="42"/>
      <c r="U207" s="42"/>
      <c r="V207" s="42"/>
      <c r="W207" s="42"/>
      <c r="X207" s="42"/>
      <c r="Y207" s="42"/>
      <c r="Z207" s="42"/>
    </row>
    <row r="208" spans="1:26" ht="15.75" customHeight="1" x14ac:dyDescent="0.25">
      <c r="A208" s="177" t="s">
        <v>504</v>
      </c>
      <c r="B208" s="178">
        <v>300000</v>
      </c>
      <c r="C208" s="178">
        <v>133000</v>
      </c>
      <c r="D208" s="178">
        <f t="shared" si="12"/>
        <v>300000</v>
      </c>
      <c r="E208" s="178">
        <v>0</v>
      </c>
      <c r="F208" s="174" t="s">
        <v>505</v>
      </c>
      <c r="G208" s="144"/>
      <c r="H208" s="144"/>
      <c r="I208" s="144"/>
      <c r="J208" s="144"/>
      <c r="K208" s="144"/>
      <c r="L208" s="144"/>
      <c r="M208" s="144"/>
      <c r="N208" s="176" t="s">
        <v>478</v>
      </c>
      <c r="O208" s="174">
        <v>0</v>
      </c>
      <c r="P208" s="42"/>
      <c r="Q208" s="42"/>
      <c r="R208" s="42"/>
      <c r="S208" s="42"/>
      <c r="T208" s="42"/>
      <c r="U208" s="42"/>
      <c r="V208" s="42"/>
      <c r="W208" s="42"/>
      <c r="X208" s="42"/>
      <c r="Y208" s="42"/>
      <c r="Z208" s="42"/>
    </row>
    <row r="209" spans="1:26" ht="15.75" customHeight="1" x14ac:dyDescent="0.25">
      <c r="A209" s="177" t="s">
        <v>506</v>
      </c>
      <c r="B209" s="178">
        <v>300000</v>
      </c>
      <c r="C209" s="178">
        <v>127000</v>
      </c>
      <c r="D209" s="178">
        <f t="shared" si="12"/>
        <v>300000</v>
      </c>
      <c r="E209" s="178">
        <v>235000</v>
      </c>
      <c r="F209" s="174" t="s">
        <v>507</v>
      </c>
      <c r="G209" s="144"/>
      <c r="H209" s="144"/>
      <c r="I209" s="144"/>
      <c r="J209" s="144"/>
      <c r="K209" s="144"/>
      <c r="L209" s="144"/>
      <c r="M209" s="144"/>
      <c r="N209" s="176" t="s">
        <v>503</v>
      </c>
      <c r="O209" s="174">
        <v>0</v>
      </c>
      <c r="P209" s="42"/>
      <c r="Q209" s="42"/>
      <c r="R209" s="42"/>
      <c r="S209" s="42"/>
      <c r="T209" s="42"/>
      <c r="U209" s="42"/>
      <c r="V209" s="42"/>
      <c r="W209" s="42"/>
      <c r="X209" s="42"/>
      <c r="Y209" s="42"/>
      <c r="Z209" s="42"/>
    </row>
    <row r="210" spans="1:26" ht="15.75" customHeight="1" x14ac:dyDescent="0.25">
      <c r="A210" s="179" t="s">
        <v>508</v>
      </c>
      <c r="B210" s="174">
        <v>180000</v>
      </c>
      <c r="C210" s="174">
        <v>65000</v>
      </c>
      <c r="D210" s="174">
        <f t="shared" si="12"/>
        <v>180000</v>
      </c>
      <c r="E210" s="174">
        <v>0</v>
      </c>
      <c r="F210" s="323" t="s">
        <v>478</v>
      </c>
      <c r="G210" s="303"/>
      <c r="H210" s="303"/>
      <c r="I210" s="303"/>
      <c r="J210" s="303"/>
      <c r="K210" s="303"/>
      <c r="L210" s="303"/>
      <c r="M210" s="223"/>
      <c r="N210" s="141" t="s">
        <v>478</v>
      </c>
      <c r="O210" s="174">
        <v>0</v>
      </c>
      <c r="P210" s="109"/>
      <c r="Q210" s="109"/>
      <c r="R210" s="109"/>
      <c r="S210" s="109"/>
      <c r="T210" s="109"/>
      <c r="U210" s="109"/>
      <c r="V210" s="109"/>
      <c r="W210" s="109"/>
      <c r="X210" s="109"/>
      <c r="Y210" s="109"/>
      <c r="Z210" s="109"/>
    </row>
    <row r="211" spans="1:26" ht="15.75" customHeight="1" x14ac:dyDescent="0.25">
      <c r="A211" s="179" t="s">
        <v>509</v>
      </c>
      <c r="B211" s="174">
        <v>180000</v>
      </c>
      <c r="C211" s="174">
        <v>63000</v>
      </c>
      <c r="D211" s="174">
        <f t="shared" si="12"/>
        <v>180000</v>
      </c>
      <c r="E211" s="174">
        <v>95000</v>
      </c>
      <c r="F211" s="323" t="s">
        <v>503</v>
      </c>
      <c r="G211" s="303"/>
      <c r="H211" s="303"/>
      <c r="I211" s="303"/>
      <c r="J211" s="303"/>
      <c r="K211" s="303"/>
      <c r="L211" s="303"/>
      <c r="M211" s="223"/>
      <c r="N211" s="141" t="s">
        <v>503</v>
      </c>
      <c r="O211" s="174">
        <v>0</v>
      </c>
      <c r="P211" s="109"/>
      <c r="Q211" s="109"/>
      <c r="R211" s="109"/>
      <c r="S211" s="109"/>
      <c r="T211" s="109"/>
      <c r="U211" s="109"/>
      <c r="V211" s="109"/>
      <c r="W211" s="109"/>
      <c r="X211" s="109"/>
      <c r="Y211" s="109"/>
      <c r="Z211" s="109"/>
    </row>
    <row r="212" spans="1:26" ht="15.75" customHeight="1" x14ac:dyDescent="0.25">
      <c r="A212" s="179" t="s">
        <v>510</v>
      </c>
      <c r="B212" s="174">
        <v>240000</v>
      </c>
      <c r="C212" s="174">
        <v>117000</v>
      </c>
      <c r="D212" s="174">
        <f t="shared" si="12"/>
        <v>240000</v>
      </c>
      <c r="E212" s="174">
        <v>0</v>
      </c>
      <c r="F212" s="323" t="s">
        <v>478</v>
      </c>
      <c r="G212" s="303"/>
      <c r="H212" s="303"/>
      <c r="I212" s="303"/>
      <c r="J212" s="303"/>
      <c r="K212" s="303"/>
      <c r="L212" s="303"/>
      <c r="M212" s="223"/>
      <c r="N212" s="141" t="s">
        <v>478</v>
      </c>
      <c r="O212" s="174">
        <v>0</v>
      </c>
      <c r="P212" s="109"/>
      <c r="Q212" s="109"/>
      <c r="R212" s="109"/>
      <c r="S212" s="109"/>
      <c r="T212" s="109"/>
      <c r="U212" s="109"/>
      <c r="V212" s="109"/>
      <c r="W212" s="109"/>
      <c r="X212" s="109"/>
      <c r="Y212" s="109"/>
      <c r="Z212" s="109"/>
    </row>
    <row r="213" spans="1:26" ht="15.75" customHeight="1" x14ac:dyDescent="0.25">
      <c r="A213" s="179" t="s">
        <v>511</v>
      </c>
      <c r="B213" s="174">
        <v>240000</v>
      </c>
      <c r="C213" s="174">
        <v>107000</v>
      </c>
      <c r="D213" s="174">
        <f t="shared" si="12"/>
        <v>240000</v>
      </c>
      <c r="E213" s="174">
        <v>163000</v>
      </c>
      <c r="F213" s="174" t="s">
        <v>503</v>
      </c>
      <c r="G213" s="144"/>
      <c r="H213" s="144"/>
      <c r="I213" s="144"/>
      <c r="J213" s="144"/>
      <c r="K213" s="144"/>
      <c r="L213" s="144"/>
      <c r="M213" s="144"/>
      <c r="N213" s="141" t="s">
        <v>503</v>
      </c>
      <c r="O213" s="174">
        <v>0</v>
      </c>
      <c r="P213" s="109"/>
      <c r="Q213" s="109"/>
      <c r="R213" s="109"/>
      <c r="S213" s="109"/>
      <c r="T213" s="109"/>
      <c r="U213" s="109"/>
      <c r="V213" s="109"/>
      <c r="W213" s="109"/>
      <c r="X213" s="109"/>
      <c r="Y213" s="109"/>
      <c r="Z213" s="109"/>
    </row>
    <row r="214" spans="1:26" ht="15.75" customHeight="1" x14ac:dyDescent="0.25">
      <c r="A214" s="179" t="s">
        <v>512</v>
      </c>
      <c r="B214" s="174">
        <v>300000</v>
      </c>
      <c r="C214" s="174">
        <v>133000</v>
      </c>
      <c r="D214" s="174">
        <f t="shared" si="12"/>
        <v>300000</v>
      </c>
      <c r="E214" s="174">
        <v>0</v>
      </c>
      <c r="F214" s="174" t="s">
        <v>505</v>
      </c>
      <c r="G214" s="144"/>
      <c r="H214" s="144"/>
      <c r="I214" s="144"/>
      <c r="J214" s="144"/>
      <c r="K214" s="144"/>
      <c r="L214" s="144"/>
      <c r="M214" s="144"/>
      <c r="N214" s="141" t="s">
        <v>478</v>
      </c>
      <c r="O214" s="174">
        <v>0</v>
      </c>
      <c r="P214" s="109"/>
      <c r="Q214" s="109"/>
      <c r="R214" s="109"/>
      <c r="S214" s="109"/>
      <c r="T214" s="109"/>
      <c r="U214" s="109"/>
      <c r="V214" s="109"/>
      <c r="W214" s="109"/>
      <c r="X214" s="109"/>
      <c r="Y214" s="109"/>
      <c r="Z214" s="109"/>
    </row>
    <row r="215" spans="1:26" ht="15.75" customHeight="1" x14ac:dyDescent="0.25">
      <c r="A215" s="179" t="s">
        <v>513</v>
      </c>
      <c r="B215" s="174">
        <v>300000</v>
      </c>
      <c r="C215" s="174">
        <v>127000</v>
      </c>
      <c r="D215" s="174">
        <f t="shared" si="12"/>
        <v>300000</v>
      </c>
      <c r="E215" s="174">
        <v>235000</v>
      </c>
      <c r="F215" s="174" t="s">
        <v>507</v>
      </c>
      <c r="G215" s="144"/>
      <c r="H215" s="144"/>
      <c r="I215" s="144"/>
      <c r="J215" s="144"/>
      <c r="K215" s="144"/>
      <c r="L215" s="144"/>
      <c r="M215" s="144"/>
      <c r="N215" s="141" t="s">
        <v>503</v>
      </c>
      <c r="O215" s="174">
        <v>0</v>
      </c>
      <c r="P215" s="109"/>
      <c r="Q215" s="109"/>
      <c r="R215" s="109"/>
      <c r="S215" s="109"/>
      <c r="T215" s="109"/>
      <c r="U215" s="109"/>
      <c r="V215" s="109"/>
      <c r="W215" s="109"/>
      <c r="X215" s="109"/>
      <c r="Y215" s="109"/>
      <c r="Z215" s="109"/>
    </row>
    <row r="216" spans="1:26" ht="15.75" customHeight="1" x14ac:dyDescent="0.25">
      <c r="A216" s="177" t="s">
        <v>14</v>
      </c>
      <c r="B216" s="174">
        <v>1700000</v>
      </c>
      <c r="C216" s="144"/>
      <c r="D216" s="174">
        <f t="shared" ref="D216:D217" si="13">+B216-E216</f>
        <v>520000</v>
      </c>
      <c r="E216" s="174">
        <v>1180000</v>
      </c>
      <c r="F216" s="174" t="s">
        <v>514</v>
      </c>
      <c r="G216" s="144"/>
      <c r="H216" s="144"/>
      <c r="I216" s="144"/>
      <c r="J216" s="144"/>
      <c r="K216" s="144"/>
      <c r="L216" s="144"/>
      <c r="M216" s="144"/>
      <c r="N216" s="176" t="s">
        <v>515</v>
      </c>
      <c r="O216" s="144"/>
      <c r="P216" s="42"/>
      <c r="Q216" s="42"/>
      <c r="R216" s="42"/>
      <c r="S216" s="42"/>
      <c r="T216" s="42"/>
      <c r="U216" s="42"/>
      <c r="V216" s="42"/>
      <c r="W216" s="42"/>
      <c r="X216" s="42"/>
      <c r="Y216" s="42"/>
      <c r="Z216" s="42"/>
    </row>
    <row r="217" spans="1:26" ht="15.75" customHeight="1" x14ac:dyDescent="0.25">
      <c r="A217" s="177" t="s">
        <v>516</v>
      </c>
      <c r="B217" s="174">
        <v>390000</v>
      </c>
      <c r="C217" s="144"/>
      <c r="D217" s="174">
        <f t="shared" si="13"/>
        <v>100000</v>
      </c>
      <c r="E217" s="174">
        <v>290000</v>
      </c>
      <c r="F217" s="323" t="s">
        <v>517</v>
      </c>
      <c r="G217" s="303"/>
      <c r="H217" s="303"/>
      <c r="I217" s="303"/>
      <c r="J217" s="303"/>
      <c r="K217" s="303"/>
      <c r="L217" s="303"/>
      <c r="M217" s="223"/>
      <c r="N217" s="176" t="s">
        <v>515</v>
      </c>
      <c r="O217" s="144"/>
      <c r="P217" s="42"/>
      <c r="Q217" s="42"/>
      <c r="R217" s="42"/>
      <c r="S217" s="42"/>
      <c r="T217" s="42"/>
      <c r="U217" s="42"/>
      <c r="V217" s="42"/>
      <c r="W217" s="42"/>
      <c r="X217" s="42"/>
      <c r="Y217" s="42"/>
      <c r="Z217" s="42"/>
    </row>
    <row r="218" spans="1:26" ht="15.75" customHeight="1" x14ac:dyDescent="0.25">
      <c r="A218" s="177" t="s">
        <v>518</v>
      </c>
      <c r="B218" s="174">
        <v>2850000</v>
      </c>
      <c r="C218" s="144"/>
      <c r="D218" s="174">
        <v>2850000</v>
      </c>
      <c r="E218" s="174">
        <v>0</v>
      </c>
      <c r="F218" s="324" t="s">
        <v>519</v>
      </c>
      <c r="G218" s="303"/>
      <c r="H218" s="303"/>
      <c r="I218" s="303"/>
      <c r="J218" s="303"/>
      <c r="K218" s="303"/>
      <c r="L218" s="303"/>
      <c r="M218" s="223"/>
      <c r="N218" s="176" t="s">
        <v>520</v>
      </c>
      <c r="O218" s="174">
        <v>20000</v>
      </c>
      <c r="P218" s="110"/>
      <c r="Q218" s="110"/>
      <c r="R218" s="110"/>
      <c r="S218" s="110"/>
      <c r="T218" s="110"/>
      <c r="U218" s="110"/>
      <c r="V218" s="110"/>
      <c r="W218" s="110"/>
      <c r="X218" s="110"/>
      <c r="Y218" s="110"/>
      <c r="Z218" s="110"/>
    </row>
    <row r="219" spans="1:26" ht="15.75" customHeight="1" x14ac:dyDescent="0.25">
      <c r="A219" s="177" t="s">
        <v>389</v>
      </c>
      <c r="B219" s="174">
        <v>4050000</v>
      </c>
      <c r="C219" s="144"/>
      <c r="D219" s="174">
        <v>4050000</v>
      </c>
      <c r="E219" s="174">
        <v>0</v>
      </c>
      <c r="F219" s="324" t="s">
        <v>521</v>
      </c>
      <c r="G219" s="303"/>
      <c r="H219" s="303"/>
      <c r="I219" s="303"/>
      <c r="J219" s="303"/>
      <c r="K219" s="303"/>
      <c r="L219" s="303"/>
      <c r="M219" s="223"/>
      <c r="N219" s="176" t="s">
        <v>520</v>
      </c>
      <c r="O219" s="174">
        <v>20000</v>
      </c>
      <c r="P219" s="110"/>
      <c r="Q219" s="110"/>
      <c r="R219" s="110"/>
      <c r="S219" s="110"/>
      <c r="T219" s="110"/>
      <c r="U219" s="110"/>
      <c r="V219" s="110"/>
      <c r="W219" s="110"/>
      <c r="X219" s="110"/>
      <c r="Y219" s="110"/>
      <c r="Z219" s="110"/>
    </row>
    <row r="220" spans="1:26" ht="15.75" customHeight="1" x14ac:dyDescent="0.25">
      <c r="A220" s="177" t="s">
        <v>13</v>
      </c>
      <c r="B220" s="174">
        <v>3700000</v>
      </c>
      <c r="C220" s="174">
        <v>300000</v>
      </c>
      <c r="D220" s="174">
        <v>1350000</v>
      </c>
      <c r="E220" s="174">
        <v>1350000</v>
      </c>
      <c r="F220" s="324" t="s">
        <v>522</v>
      </c>
      <c r="G220" s="303"/>
      <c r="H220" s="303"/>
      <c r="I220" s="303"/>
      <c r="J220" s="303"/>
      <c r="K220" s="303"/>
      <c r="L220" s="303"/>
      <c r="M220" s="223"/>
      <c r="N220" s="176" t="s">
        <v>520</v>
      </c>
      <c r="O220" s="174">
        <v>20000</v>
      </c>
      <c r="P220" s="110"/>
      <c r="Q220" s="110"/>
      <c r="R220" s="110"/>
      <c r="S220" s="110"/>
      <c r="T220" s="110"/>
      <c r="U220" s="110"/>
      <c r="V220" s="110"/>
      <c r="W220" s="110"/>
      <c r="X220" s="110"/>
      <c r="Y220" s="110"/>
      <c r="Z220" s="110"/>
    </row>
    <row r="221" spans="1:26" ht="15.75" customHeight="1" x14ac:dyDescent="0.25">
      <c r="A221" s="177" t="s">
        <v>523</v>
      </c>
      <c r="B221" s="174">
        <f>700000*4</f>
        <v>2800000</v>
      </c>
      <c r="C221" s="144"/>
      <c r="D221" s="144"/>
      <c r="E221" s="174">
        <f>596000*4</f>
        <v>2384000</v>
      </c>
      <c r="F221" s="323" t="s">
        <v>524</v>
      </c>
      <c r="G221" s="303"/>
      <c r="H221" s="303"/>
      <c r="I221" s="303"/>
      <c r="J221" s="303"/>
      <c r="K221" s="303"/>
      <c r="L221" s="303"/>
      <c r="M221" s="223"/>
      <c r="N221" s="166"/>
      <c r="O221" s="144"/>
      <c r="P221" s="42"/>
      <c r="Q221" s="42"/>
      <c r="R221" s="42"/>
      <c r="S221" s="42"/>
      <c r="T221" s="42"/>
      <c r="U221" s="42"/>
      <c r="V221" s="42"/>
      <c r="W221" s="42"/>
      <c r="X221" s="42"/>
      <c r="Y221" s="42"/>
      <c r="Z221" s="42"/>
    </row>
    <row r="222" spans="1:26" ht="15.75" customHeight="1" x14ac:dyDescent="0.25">
      <c r="A222" s="177" t="s">
        <v>525</v>
      </c>
      <c r="B222" s="144"/>
      <c r="C222" s="144"/>
      <c r="D222" s="144"/>
      <c r="E222" s="144"/>
      <c r="F222" s="144"/>
      <c r="G222" s="144"/>
      <c r="H222" s="144"/>
      <c r="I222" s="144"/>
      <c r="J222" s="144"/>
      <c r="K222" s="144"/>
      <c r="L222" s="144"/>
      <c r="M222" s="144"/>
      <c r="N222" s="176" t="s">
        <v>526</v>
      </c>
      <c r="O222" s="144"/>
      <c r="P222" s="42"/>
      <c r="Q222" s="42"/>
      <c r="R222" s="42"/>
      <c r="S222" s="42"/>
      <c r="T222" s="42"/>
      <c r="U222" s="42"/>
      <c r="V222" s="42"/>
      <c r="W222" s="42"/>
      <c r="X222" s="42"/>
      <c r="Y222" s="42"/>
      <c r="Z222" s="42"/>
    </row>
    <row r="223" spans="1:26" ht="15.75" customHeight="1" x14ac:dyDescent="0.25">
      <c r="A223" s="42"/>
      <c r="B223" s="144"/>
      <c r="C223" s="144"/>
      <c r="D223" s="144"/>
      <c r="E223" s="144"/>
      <c r="F223" s="144"/>
      <c r="G223" s="144"/>
      <c r="H223" s="144"/>
      <c r="I223" s="144"/>
      <c r="J223" s="144"/>
      <c r="K223" s="144"/>
      <c r="L223" s="144"/>
      <c r="M223" s="144"/>
      <c r="N223" s="166"/>
      <c r="O223" s="144"/>
      <c r="P223" s="42"/>
      <c r="Q223" s="42"/>
      <c r="R223" s="42"/>
      <c r="S223" s="42"/>
      <c r="T223" s="42"/>
      <c r="U223" s="42"/>
      <c r="V223" s="42"/>
      <c r="W223" s="42"/>
      <c r="X223" s="42"/>
      <c r="Y223" s="42"/>
      <c r="Z223" s="42"/>
    </row>
    <row r="224" spans="1:26" ht="15.75" customHeight="1" x14ac:dyDescent="0.25">
      <c r="A224" s="42"/>
      <c r="B224" s="144"/>
      <c r="C224" s="144"/>
      <c r="D224" s="144"/>
      <c r="E224" s="144"/>
      <c r="F224" s="144"/>
      <c r="G224" s="144"/>
      <c r="H224" s="144"/>
      <c r="I224" s="144"/>
      <c r="J224" s="144"/>
      <c r="K224" s="144"/>
      <c r="L224" s="144"/>
      <c r="M224" s="144"/>
      <c r="N224" s="166"/>
      <c r="O224" s="144"/>
      <c r="P224" s="42"/>
      <c r="Q224" s="42"/>
      <c r="R224" s="42"/>
      <c r="S224" s="42"/>
      <c r="T224" s="42"/>
      <c r="U224" s="42"/>
      <c r="V224" s="42"/>
      <c r="W224" s="42"/>
      <c r="X224" s="42"/>
      <c r="Y224" s="42"/>
      <c r="Z224" s="42"/>
    </row>
    <row r="225" spans="1:26" ht="15.75" customHeight="1" x14ac:dyDescent="0.25">
      <c r="A225" s="42"/>
      <c r="B225" s="144"/>
      <c r="C225" s="144"/>
      <c r="D225" s="144"/>
      <c r="E225" s="144"/>
      <c r="F225" s="144"/>
      <c r="G225" s="144"/>
      <c r="H225" s="144"/>
      <c r="I225" s="144"/>
      <c r="J225" s="144"/>
      <c r="K225" s="144"/>
      <c r="L225" s="144"/>
      <c r="M225" s="144"/>
      <c r="N225" s="166"/>
      <c r="O225" s="144"/>
      <c r="P225" s="42"/>
      <c r="Q225" s="42"/>
      <c r="R225" s="42"/>
      <c r="S225" s="42"/>
      <c r="T225" s="42"/>
      <c r="U225" s="42"/>
      <c r="V225" s="42"/>
      <c r="W225" s="42"/>
      <c r="X225" s="42"/>
      <c r="Y225" s="42"/>
      <c r="Z225" s="42"/>
    </row>
    <row r="226" spans="1:26" ht="15.75" customHeight="1" x14ac:dyDescent="0.25">
      <c r="A226" s="42"/>
      <c r="B226" s="144"/>
      <c r="C226" s="144"/>
      <c r="D226" s="144"/>
      <c r="E226" s="144"/>
      <c r="F226" s="144"/>
      <c r="G226" s="144"/>
      <c r="H226" s="144"/>
      <c r="I226" s="144"/>
      <c r="J226" s="144"/>
      <c r="K226" s="144"/>
      <c r="L226" s="144"/>
      <c r="M226" s="144"/>
      <c r="N226" s="166"/>
      <c r="O226" s="144"/>
      <c r="P226" s="42"/>
      <c r="Q226" s="42"/>
      <c r="R226" s="42"/>
      <c r="S226" s="42"/>
      <c r="T226" s="42"/>
      <c r="U226" s="42"/>
      <c r="V226" s="42"/>
      <c r="W226" s="42"/>
      <c r="X226" s="42"/>
      <c r="Y226" s="42"/>
      <c r="Z226" s="42"/>
    </row>
    <row r="227" spans="1:26" ht="15.75" customHeight="1" x14ac:dyDescent="0.25">
      <c r="A227" s="42"/>
      <c r="B227" s="144"/>
      <c r="C227" s="144"/>
      <c r="D227" s="144"/>
      <c r="E227" s="144"/>
      <c r="F227" s="144"/>
      <c r="G227" s="144"/>
      <c r="H227" s="144"/>
      <c r="I227" s="144"/>
      <c r="J227" s="144"/>
      <c r="K227" s="144"/>
      <c r="L227" s="144"/>
      <c r="M227" s="144"/>
      <c r="N227" s="166"/>
      <c r="O227" s="144"/>
      <c r="P227" s="42"/>
      <c r="Q227" s="42"/>
      <c r="R227" s="42"/>
      <c r="S227" s="42"/>
      <c r="T227" s="42"/>
      <c r="U227" s="42"/>
      <c r="V227" s="42"/>
      <c r="W227" s="42"/>
      <c r="X227" s="42"/>
      <c r="Y227" s="42"/>
      <c r="Z227" s="42"/>
    </row>
    <row r="228" spans="1:26" ht="15.75" customHeight="1" x14ac:dyDescent="0.25">
      <c r="A228" s="42"/>
      <c r="B228" s="144"/>
      <c r="C228" s="144"/>
      <c r="D228" s="144"/>
      <c r="E228" s="144"/>
      <c r="F228" s="144"/>
      <c r="G228" s="144"/>
      <c r="H228" s="144"/>
      <c r="I228" s="144"/>
      <c r="J228" s="144"/>
      <c r="K228" s="144"/>
      <c r="L228" s="144"/>
      <c r="M228" s="144"/>
      <c r="N228" s="166"/>
      <c r="O228" s="144"/>
      <c r="P228" s="42"/>
      <c r="Q228" s="42"/>
      <c r="R228" s="42"/>
      <c r="S228" s="42"/>
      <c r="T228" s="42"/>
      <c r="U228" s="42"/>
      <c r="V228" s="42"/>
      <c r="W228" s="42"/>
      <c r="X228" s="42"/>
      <c r="Y228" s="42"/>
      <c r="Z228" s="42"/>
    </row>
    <row r="229" spans="1:26" ht="15.75" customHeight="1" x14ac:dyDescent="0.25">
      <c r="A229" s="42"/>
      <c r="B229" s="144"/>
      <c r="C229" s="144"/>
      <c r="D229" s="144"/>
      <c r="E229" s="144"/>
      <c r="F229" s="144"/>
      <c r="G229" s="144"/>
      <c r="H229" s="144"/>
      <c r="I229" s="144"/>
      <c r="J229" s="144"/>
      <c r="K229" s="144"/>
      <c r="L229" s="144"/>
      <c r="M229" s="144"/>
      <c r="N229" s="166"/>
      <c r="O229" s="144"/>
      <c r="P229" s="42"/>
      <c r="Q229" s="42"/>
      <c r="R229" s="42"/>
      <c r="S229" s="42"/>
      <c r="T229" s="42"/>
      <c r="U229" s="42"/>
      <c r="V229" s="42"/>
      <c r="W229" s="42"/>
      <c r="X229" s="42"/>
      <c r="Y229" s="42"/>
      <c r="Z229" s="42"/>
    </row>
    <row r="230" spans="1:26" ht="15.75" customHeight="1" x14ac:dyDescent="0.25">
      <c r="A230" s="42"/>
      <c r="B230" s="144"/>
      <c r="C230" s="144"/>
      <c r="D230" s="144"/>
      <c r="E230" s="144"/>
      <c r="F230" s="144"/>
      <c r="G230" s="144"/>
      <c r="H230" s="144"/>
      <c r="I230" s="144"/>
      <c r="J230" s="144"/>
      <c r="K230" s="144"/>
      <c r="L230" s="144"/>
      <c r="M230" s="144"/>
      <c r="N230" s="166"/>
      <c r="O230" s="144"/>
      <c r="P230" s="42"/>
      <c r="Q230" s="42"/>
      <c r="R230" s="42"/>
      <c r="S230" s="42"/>
      <c r="T230" s="42"/>
      <c r="U230" s="42"/>
      <c r="V230" s="42"/>
      <c r="W230" s="42"/>
      <c r="X230" s="42"/>
      <c r="Y230" s="42"/>
      <c r="Z230" s="42"/>
    </row>
    <row r="231" spans="1:26" ht="15.75" customHeight="1" x14ac:dyDescent="0.25">
      <c r="A231" s="42"/>
      <c r="B231" s="144"/>
      <c r="C231" s="144"/>
      <c r="D231" s="144"/>
      <c r="E231" s="144"/>
      <c r="F231" s="144"/>
      <c r="G231" s="144"/>
      <c r="H231" s="144"/>
      <c r="I231" s="144"/>
      <c r="J231" s="144"/>
      <c r="K231" s="144"/>
      <c r="L231" s="144"/>
      <c r="M231" s="144"/>
      <c r="N231" s="166"/>
      <c r="O231" s="144"/>
      <c r="P231" s="42"/>
      <c r="Q231" s="42"/>
      <c r="R231" s="42"/>
      <c r="S231" s="42"/>
      <c r="T231" s="42"/>
      <c r="U231" s="42"/>
      <c r="V231" s="42"/>
      <c r="W231" s="42"/>
      <c r="X231" s="42"/>
      <c r="Y231" s="42"/>
      <c r="Z231" s="42"/>
    </row>
    <row r="232" spans="1:26" ht="15.75" customHeight="1" x14ac:dyDescent="0.25">
      <c r="A232" s="42"/>
      <c r="B232" s="144"/>
      <c r="C232" s="144"/>
      <c r="D232" s="144"/>
      <c r="E232" s="144"/>
      <c r="F232" s="144"/>
      <c r="G232" s="144"/>
      <c r="H232" s="144"/>
      <c r="I232" s="144"/>
      <c r="J232" s="144"/>
      <c r="K232" s="144"/>
      <c r="L232" s="144"/>
      <c r="M232" s="144"/>
      <c r="N232" s="166"/>
      <c r="O232" s="144"/>
      <c r="P232" s="42"/>
      <c r="Q232" s="42"/>
      <c r="R232" s="42"/>
      <c r="S232" s="42"/>
      <c r="T232" s="42"/>
      <c r="U232" s="42"/>
      <c r="V232" s="42"/>
      <c r="W232" s="42"/>
      <c r="X232" s="42"/>
      <c r="Y232" s="42"/>
      <c r="Z232" s="42"/>
    </row>
    <row r="233" spans="1:26" ht="15.75" customHeight="1" x14ac:dyDescent="0.25">
      <c r="A233" s="42"/>
      <c r="B233" s="144"/>
      <c r="C233" s="144"/>
      <c r="D233" s="144"/>
      <c r="E233" s="144"/>
      <c r="F233" s="144"/>
      <c r="G233" s="144"/>
      <c r="H233" s="144"/>
      <c r="I233" s="144"/>
      <c r="J233" s="144"/>
      <c r="K233" s="144"/>
      <c r="L233" s="144"/>
      <c r="M233" s="144"/>
      <c r="N233" s="166"/>
      <c r="O233" s="144"/>
      <c r="P233" s="42"/>
      <c r="Q233" s="42"/>
      <c r="R233" s="42"/>
      <c r="S233" s="42"/>
      <c r="T233" s="42"/>
      <c r="U233" s="42"/>
      <c r="V233" s="42"/>
      <c r="W233" s="42"/>
      <c r="X233" s="42"/>
      <c r="Y233" s="42"/>
      <c r="Z233" s="42"/>
    </row>
    <row r="234" spans="1:26" ht="15.75" customHeight="1" x14ac:dyDescent="0.25">
      <c r="A234" s="42"/>
      <c r="B234" s="144"/>
      <c r="C234" s="144"/>
      <c r="D234" s="144"/>
      <c r="E234" s="144"/>
      <c r="F234" s="144"/>
      <c r="G234" s="144"/>
      <c r="H234" s="144"/>
      <c r="I234" s="144"/>
      <c r="J234" s="144"/>
      <c r="K234" s="144"/>
      <c r="L234" s="144"/>
      <c r="M234" s="144"/>
      <c r="N234" s="166"/>
      <c r="O234" s="144"/>
      <c r="P234" s="42"/>
      <c r="Q234" s="42"/>
      <c r="R234" s="42"/>
      <c r="S234" s="42"/>
      <c r="T234" s="42"/>
      <c r="U234" s="42"/>
      <c r="V234" s="42"/>
      <c r="W234" s="42"/>
      <c r="X234" s="42"/>
      <c r="Y234" s="42"/>
      <c r="Z234" s="42"/>
    </row>
    <row r="235" spans="1:26" ht="15.75" customHeight="1" x14ac:dyDescent="0.25">
      <c r="A235" s="42"/>
      <c r="B235" s="144"/>
      <c r="C235" s="144"/>
      <c r="D235" s="144"/>
      <c r="E235" s="144"/>
      <c r="F235" s="144"/>
      <c r="G235" s="144"/>
      <c r="H235" s="144"/>
      <c r="I235" s="144"/>
      <c r="J235" s="144"/>
      <c r="K235" s="144"/>
      <c r="L235" s="144"/>
      <c r="M235" s="144"/>
      <c r="N235" s="166"/>
      <c r="O235" s="144"/>
      <c r="P235" s="42"/>
      <c r="Q235" s="42"/>
      <c r="R235" s="42"/>
      <c r="S235" s="42"/>
      <c r="T235" s="42"/>
      <c r="U235" s="42"/>
      <c r="V235" s="42"/>
      <c r="W235" s="42"/>
      <c r="X235" s="42"/>
      <c r="Y235" s="42"/>
      <c r="Z235" s="42"/>
    </row>
    <row r="236" spans="1:26" ht="15.75" customHeight="1" x14ac:dyDescent="0.25">
      <c r="A236" s="42"/>
      <c r="B236" s="144"/>
      <c r="C236" s="144"/>
      <c r="D236" s="144"/>
      <c r="E236" s="144"/>
      <c r="F236" s="144"/>
      <c r="G236" s="144"/>
      <c r="H236" s="144"/>
      <c r="I236" s="144"/>
      <c r="J236" s="144"/>
      <c r="K236" s="144"/>
      <c r="L236" s="144"/>
      <c r="M236" s="144"/>
      <c r="N236" s="166"/>
      <c r="O236" s="144"/>
      <c r="P236" s="42"/>
      <c r="Q236" s="42"/>
      <c r="R236" s="42"/>
      <c r="S236" s="42"/>
      <c r="T236" s="42"/>
      <c r="U236" s="42"/>
      <c r="V236" s="42"/>
      <c r="W236" s="42"/>
      <c r="X236" s="42"/>
      <c r="Y236" s="42"/>
      <c r="Z236" s="42"/>
    </row>
    <row r="237" spans="1:26" ht="15.75" customHeight="1" x14ac:dyDescent="0.25">
      <c r="A237" s="42"/>
      <c r="B237" s="144"/>
      <c r="C237" s="144"/>
      <c r="D237" s="144"/>
      <c r="E237" s="144"/>
      <c r="F237" s="144"/>
      <c r="G237" s="144"/>
      <c r="H237" s="144"/>
      <c r="I237" s="144"/>
      <c r="J237" s="144"/>
      <c r="K237" s="144"/>
      <c r="L237" s="144"/>
      <c r="M237" s="144"/>
      <c r="N237" s="166"/>
      <c r="O237" s="144"/>
      <c r="P237" s="42"/>
      <c r="Q237" s="42"/>
      <c r="R237" s="42"/>
      <c r="S237" s="42"/>
      <c r="T237" s="42"/>
      <c r="U237" s="42"/>
      <c r="V237" s="42"/>
      <c r="W237" s="42"/>
      <c r="X237" s="42"/>
      <c r="Y237" s="42"/>
      <c r="Z237" s="42"/>
    </row>
    <row r="238" spans="1:26" ht="15.75" customHeight="1" x14ac:dyDescent="0.25">
      <c r="A238" s="42"/>
      <c r="B238" s="144"/>
      <c r="C238" s="144"/>
      <c r="D238" s="144"/>
      <c r="E238" s="144"/>
      <c r="F238" s="144"/>
      <c r="G238" s="144"/>
      <c r="H238" s="144"/>
      <c r="I238" s="144"/>
      <c r="J238" s="144"/>
      <c r="K238" s="144"/>
      <c r="L238" s="144"/>
      <c r="M238" s="144"/>
      <c r="N238" s="166"/>
      <c r="O238" s="144"/>
      <c r="P238" s="42"/>
      <c r="Q238" s="42"/>
      <c r="R238" s="42"/>
      <c r="S238" s="42"/>
      <c r="T238" s="42"/>
      <c r="U238" s="42"/>
      <c r="V238" s="42"/>
      <c r="W238" s="42"/>
      <c r="X238" s="42"/>
      <c r="Y238" s="42"/>
      <c r="Z238" s="42"/>
    </row>
    <row r="239" spans="1:26" ht="15.75" customHeight="1" x14ac:dyDescent="0.25">
      <c r="A239" s="42"/>
      <c r="B239" s="144"/>
      <c r="C239" s="144"/>
      <c r="D239" s="144"/>
      <c r="E239" s="144"/>
      <c r="F239" s="144"/>
      <c r="G239" s="144"/>
      <c r="H239" s="144"/>
      <c r="I239" s="144"/>
      <c r="J239" s="144"/>
      <c r="K239" s="144"/>
      <c r="L239" s="144"/>
      <c r="M239" s="144"/>
      <c r="N239" s="166"/>
      <c r="O239" s="144"/>
      <c r="P239" s="42"/>
      <c r="Q239" s="42"/>
      <c r="R239" s="42"/>
      <c r="S239" s="42"/>
      <c r="T239" s="42"/>
      <c r="U239" s="42"/>
      <c r="V239" s="42"/>
      <c r="W239" s="42"/>
      <c r="X239" s="42"/>
      <c r="Y239" s="42"/>
      <c r="Z239" s="42"/>
    </row>
    <row r="240" spans="1:26" ht="15.75" customHeight="1" x14ac:dyDescent="0.25">
      <c r="A240" s="42"/>
      <c r="B240" s="144"/>
      <c r="C240" s="144"/>
      <c r="D240" s="144"/>
      <c r="E240" s="144"/>
      <c r="F240" s="144"/>
      <c r="G240" s="144"/>
      <c r="H240" s="144"/>
      <c r="I240" s="144"/>
      <c r="J240" s="144"/>
      <c r="K240" s="144"/>
      <c r="L240" s="144"/>
      <c r="M240" s="144"/>
      <c r="N240" s="166"/>
      <c r="O240" s="144"/>
      <c r="P240" s="42"/>
      <c r="Q240" s="42"/>
      <c r="R240" s="42"/>
      <c r="S240" s="42"/>
      <c r="T240" s="42"/>
      <c r="U240" s="42"/>
      <c r="V240" s="42"/>
      <c r="W240" s="42"/>
      <c r="X240" s="42"/>
      <c r="Y240" s="42"/>
      <c r="Z240" s="42"/>
    </row>
    <row r="241" spans="1:26" ht="15.75" customHeight="1" x14ac:dyDescent="0.25">
      <c r="A241" s="42"/>
      <c r="B241" s="144"/>
      <c r="C241" s="144"/>
      <c r="D241" s="144"/>
      <c r="E241" s="144"/>
      <c r="F241" s="144"/>
      <c r="G241" s="144"/>
      <c r="H241" s="144"/>
      <c r="I241" s="144"/>
      <c r="J241" s="144"/>
      <c r="K241" s="144"/>
      <c r="L241" s="144"/>
      <c r="M241" s="144"/>
      <c r="N241" s="166"/>
      <c r="O241" s="144"/>
      <c r="P241" s="42"/>
      <c r="Q241" s="42"/>
      <c r="R241" s="42"/>
      <c r="S241" s="42"/>
      <c r="T241" s="42"/>
      <c r="U241" s="42"/>
      <c r="V241" s="42"/>
      <c r="W241" s="42"/>
      <c r="X241" s="42"/>
      <c r="Y241" s="42"/>
      <c r="Z241" s="42"/>
    </row>
    <row r="242" spans="1:26" ht="15.75" customHeight="1" x14ac:dyDescent="0.25">
      <c r="A242" s="42"/>
      <c r="B242" s="144"/>
      <c r="C242" s="144"/>
      <c r="D242" s="144"/>
      <c r="E242" s="144"/>
      <c r="F242" s="144"/>
      <c r="G242" s="144"/>
      <c r="H242" s="144"/>
      <c r="I242" s="144"/>
      <c r="J242" s="144"/>
      <c r="K242" s="144"/>
      <c r="L242" s="144"/>
      <c r="M242" s="144"/>
      <c r="N242" s="166"/>
      <c r="O242" s="144"/>
      <c r="P242" s="42"/>
      <c r="Q242" s="42"/>
      <c r="R242" s="42"/>
      <c r="S242" s="42"/>
      <c r="T242" s="42"/>
      <c r="U242" s="42"/>
      <c r="V242" s="42"/>
      <c r="W242" s="42"/>
      <c r="X242" s="42"/>
      <c r="Y242" s="42"/>
      <c r="Z242" s="42"/>
    </row>
    <row r="243" spans="1:26" ht="15.75" customHeight="1" x14ac:dyDescent="0.25">
      <c r="A243" s="42"/>
      <c r="B243" s="144"/>
      <c r="C243" s="144"/>
      <c r="D243" s="144"/>
      <c r="E243" s="144"/>
      <c r="F243" s="144"/>
      <c r="G243" s="144"/>
      <c r="H243" s="144"/>
      <c r="I243" s="144"/>
      <c r="J243" s="144"/>
      <c r="K243" s="144"/>
      <c r="L243" s="144"/>
      <c r="M243" s="144"/>
      <c r="N243" s="166"/>
      <c r="O243" s="144"/>
      <c r="P243" s="42"/>
      <c r="Q243" s="42"/>
      <c r="R243" s="42"/>
      <c r="S243" s="42"/>
      <c r="T243" s="42"/>
      <c r="U243" s="42"/>
      <c r="V243" s="42"/>
      <c r="W243" s="42"/>
      <c r="X243" s="42"/>
      <c r="Y243" s="42"/>
      <c r="Z243" s="42"/>
    </row>
    <row r="244" spans="1:26" ht="15.75" customHeight="1" x14ac:dyDescent="0.25">
      <c r="A244" s="42"/>
      <c r="B244" s="144"/>
      <c r="C244" s="144"/>
      <c r="D244" s="144"/>
      <c r="E244" s="144"/>
      <c r="F244" s="144"/>
      <c r="G244" s="144"/>
      <c r="H244" s="144"/>
      <c r="I244" s="144"/>
      <c r="J244" s="144"/>
      <c r="K244" s="144"/>
      <c r="L244" s="144"/>
      <c r="M244" s="144"/>
      <c r="N244" s="166"/>
      <c r="O244" s="144"/>
      <c r="P244" s="42"/>
      <c r="Q244" s="42"/>
      <c r="R244" s="42"/>
      <c r="S244" s="42"/>
      <c r="T244" s="42"/>
      <c r="U244" s="42"/>
      <c r="V244" s="42"/>
      <c r="W244" s="42"/>
      <c r="X244" s="42"/>
      <c r="Y244" s="42"/>
      <c r="Z244" s="42"/>
    </row>
    <row r="245" spans="1:26" ht="15.75" customHeight="1" x14ac:dyDescent="0.25">
      <c r="A245" s="42"/>
      <c r="B245" s="144"/>
      <c r="C245" s="144"/>
      <c r="D245" s="144"/>
      <c r="E245" s="144"/>
      <c r="F245" s="144"/>
      <c r="G245" s="144"/>
      <c r="H245" s="144"/>
      <c r="I245" s="144"/>
      <c r="J245" s="144"/>
      <c r="K245" s="144"/>
      <c r="L245" s="144"/>
      <c r="M245" s="144"/>
      <c r="N245" s="166"/>
      <c r="O245" s="144"/>
      <c r="P245" s="42"/>
      <c r="Q245" s="42"/>
      <c r="R245" s="42"/>
      <c r="S245" s="42"/>
      <c r="T245" s="42"/>
      <c r="U245" s="42"/>
      <c r="V245" s="42"/>
      <c r="W245" s="42"/>
      <c r="X245" s="42"/>
      <c r="Y245" s="42"/>
      <c r="Z245" s="42"/>
    </row>
    <row r="246" spans="1:26" ht="15.75" customHeight="1" x14ac:dyDescent="0.25">
      <c r="A246" s="42"/>
      <c r="B246" s="144"/>
      <c r="C246" s="144"/>
      <c r="D246" s="144"/>
      <c r="E246" s="144"/>
      <c r="F246" s="144"/>
      <c r="G246" s="144"/>
      <c r="H246" s="144"/>
      <c r="I246" s="144"/>
      <c r="J246" s="144"/>
      <c r="K246" s="144"/>
      <c r="L246" s="144"/>
      <c r="M246" s="144"/>
      <c r="N246" s="166"/>
      <c r="O246" s="144"/>
      <c r="P246" s="42"/>
      <c r="Q246" s="42"/>
      <c r="R246" s="42"/>
      <c r="S246" s="42"/>
      <c r="T246" s="42"/>
      <c r="U246" s="42"/>
      <c r="V246" s="42"/>
      <c r="W246" s="42"/>
      <c r="X246" s="42"/>
      <c r="Y246" s="42"/>
      <c r="Z246" s="42"/>
    </row>
    <row r="247" spans="1:26" ht="15.75" customHeight="1" x14ac:dyDescent="0.25">
      <c r="A247" s="42"/>
      <c r="B247" s="144"/>
      <c r="C247" s="144"/>
      <c r="D247" s="144"/>
      <c r="E247" s="144"/>
      <c r="F247" s="144"/>
      <c r="G247" s="144"/>
      <c r="H247" s="144"/>
      <c r="I247" s="144"/>
      <c r="J247" s="144"/>
      <c r="K247" s="144"/>
      <c r="L247" s="144"/>
      <c r="M247" s="144"/>
      <c r="N247" s="166"/>
      <c r="O247" s="144"/>
      <c r="P247" s="42"/>
      <c r="Q247" s="42"/>
      <c r="R247" s="42"/>
      <c r="S247" s="42"/>
      <c r="T247" s="42"/>
      <c r="U247" s="42"/>
      <c r="V247" s="42"/>
      <c r="W247" s="42"/>
      <c r="X247" s="42"/>
      <c r="Y247" s="42"/>
      <c r="Z247" s="42"/>
    </row>
    <row r="248" spans="1:26" ht="15.75" customHeight="1" x14ac:dyDescent="0.25">
      <c r="A248" s="42"/>
      <c r="B248" s="144"/>
      <c r="C248" s="144"/>
      <c r="D248" s="144"/>
      <c r="E248" s="144"/>
      <c r="F248" s="144"/>
      <c r="G248" s="144"/>
      <c r="H248" s="144"/>
      <c r="I248" s="144"/>
      <c r="J248" s="144"/>
      <c r="K248" s="144"/>
      <c r="L248" s="144"/>
      <c r="M248" s="144"/>
      <c r="N248" s="166"/>
      <c r="O248" s="144"/>
      <c r="P248" s="42"/>
      <c r="Q248" s="42"/>
      <c r="R248" s="42"/>
      <c r="S248" s="42"/>
      <c r="T248" s="42"/>
      <c r="U248" s="42"/>
      <c r="V248" s="42"/>
      <c r="W248" s="42"/>
      <c r="X248" s="42"/>
      <c r="Y248" s="42"/>
      <c r="Z248" s="42"/>
    </row>
    <row r="249" spans="1:26" ht="15.75" customHeight="1" x14ac:dyDescent="0.25">
      <c r="A249" s="42"/>
      <c r="B249" s="144"/>
      <c r="C249" s="144"/>
      <c r="D249" s="144"/>
      <c r="E249" s="144"/>
      <c r="F249" s="144"/>
      <c r="G249" s="144"/>
      <c r="H249" s="144"/>
      <c r="I249" s="144"/>
      <c r="J249" s="144"/>
      <c r="K249" s="144"/>
      <c r="L249" s="144"/>
      <c r="M249" s="144"/>
      <c r="N249" s="166"/>
      <c r="O249" s="144"/>
      <c r="P249" s="42"/>
      <c r="Q249" s="42"/>
      <c r="R249" s="42"/>
      <c r="S249" s="42"/>
      <c r="T249" s="42"/>
      <c r="U249" s="42"/>
      <c r="V249" s="42"/>
      <c r="W249" s="42"/>
      <c r="X249" s="42"/>
      <c r="Y249" s="42"/>
      <c r="Z249" s="42"/>
    </row>
    <row r="250" spans="1:26" ht="15.75" customHeight="1" x14ac:dyDescent="0.25">
      <c r="A250" s="42"/>
      <c r="B250" s="144"/>
      <c r="C250" s="144"/>
      <c r="D250" s="144"/>
      <c r="E250" s="144"/>
      <c r="F250" s="144"/>
      <c r="G250" s="144"/>
      <c r="H250" s="144"/>
      <c r="I250" s="144"/>
      <c r="J250" s="144"/>
      <c r="K250" s="144"/>
      <c r="L250" s="144"/>
      <c r="M250" s="144"/>
      <c r="N250" s="166"/>
      <c r="O250" s="144"/>
      <c r="P250" s="42"/>
      <c r="Q250" s="42"/>
      <c r="R250" s="42"/>
      <c r="S250" s="42"/>
      <c r="T250" s="42"/>
      <c r="U250" s="42"/>
      <c r="V250" s="42"/>
      <c r="W250" s="42"/>
      <c r="X250" s="42"/>
      <c r="Y250" s="42"/>
      <c r="Z250" s="42"/>
    </row>
    <row r="251" spans="1:26" ht="15.75" customHeight="1" x14ac:dyDescent="0.25">
      <c r="A251" s="42"/>
      <c r="B251" s="144"/>
      <c r="C251" s="144"/>
      <c r="D251" s="144"/>
      <c r="E251" s="144"/>
      <c r="F251" s="144"/>
      <c r="G251" s="144"/>
      <c r="H251" s="144"/>
      <c r="I251" s="144"/>
      <c r="J251" s="144"/>
      <c r="K251" s="144"/>
      <c r="L251" s="144"/>
      <c r="M251" s="144"/>
      <c r="N251" s="166"/>
      <c r="O251" s="144"/>
      <c r="P251" s="42"/>
      <c r="Q251" s="42"/>
      <c r="R251" s="42"/>
      <c r="S251" s="42"/>
      <c r="T251" s="42"/>
      <c r="U251" s="42"/>
      <c r="V251" s="42"/>
      <c r="W251" s="42"/>
      <c r="X251" s="42"/>
      <c r="Y251" s="42"/>
      <c r="Z251" s="42"/>
    </row>
    <row r="252" spans="1:26" ht="15.75" customHeight="1" x14ac:dyDescent="0.25">
      <c r="A252" s="42"/>
      <c r="B252" s="144"/>
      <c r="C252" s="144"/>
      <c r="D252" s="144"/>
      <c r="E252" s="144"/>
      <c r="F252" s="144"/>
      <c r="G252" s="144"/>
      <c r="H252" s="144"/>
      <c r="I252" s="144"/>
      <c r="J252" s="144"/>
      <c r="K252" s="144"/>
      <c r="L252" s="144"/>
      <c r="M252" s="144"/>
      <c r="N252" s="166"/>
      <c r="O252" s="144"/>
      <c r="P252" s="42"/>
      <c r="Q252" s="42"/>
      <c r="R252" s="42"/>
      <c r="S252" s="42"/>
      <c r="T252" s="42"/>
      <c r="U252" s="42"/>
      <c r="V252" s="42"/>
      <c r="W252" s="42"/>
      <c r="X252" s="42"/>
      <c r="Y252" s="42"/>
      <c r="Z252" s="42"/>
    </row>
    <row r="253" spans="1:26" ht="15.75" customHeight="1" x14ac:dyDescent="0.25">
      <c r="A253" s="42"/>
      <c r="B253" s="144"/>
      <c r="C253" s="144"/>
      <c r="D253" s="144"/>
      <c r="E253" s="144"/>
      <c r="F253" s="144"/>
      <c r="G253" s="144"/>
      <c r="H253" s="144"/>
      <c r="I253" s="144"/>
      <c r="J253" s="144"/>
      <c r="K253" s="144"/>
      <c r="L253" s="144"/>
      <c r="M253" s="144"/>
      <c r="N253" s="166"/>
      <c r="O253" s="144"/>
      <c r="P253" s="42"/>
      <c r="Q253" s="42"/>
      <c r="R253" s="42"/>
      <c r="S253" s="42"/>
      <c r="T253" s="42"/>
      <c r="U253" s="42"/>
      <c r="V253" s="42"/>
      <c r="W253" s="42"/>
      <c r="X253" s="42"/>
      <c r="Y253" s="42"/>
      <c r="Z253" s="42"/>
    </row>
    <row r="254" spans="1:26" ht="15.75" customHeight="1" x14ac:dyDescent="0.25">
      <c r="A254" s="42"/>
      <c r="B254" s="144"/>
      <c r="C254" s="144"/>
      <c r="D254" s="144"/>
      <c r="E254" s="144"/>
      <c r="F254" s="144"/>
      <c r="G254" s="144"/>
      <c r="H254" s="144"/>
      <c r="I254" s="144"/>
      <c r="J254" s="144"/>
      <c r="K254" s="144"/>
      <c r="L254" s="144"/>
      <c r="M254" s="144"/>
      <c r="N254" s="166"/>
      <c r="O254" s="144"/>
      <c r="P254" s="42"/>
      <c r="Q254" s="42"/>
      <c r="R254" s="42"/>
      <c r="S254" s="42"/>
      <c r="T254" s="42"/>
      <c r="U254" s="42"/>
      <c r="V254" s="42"/>
      <c r="W254" s="42"/>
      <c r="X254" s="42"/>
      <c r="Y254" s="42"/>
      <c r="Z254" s="42"/>
    </row>
    <row r="255" spans="1:26" ht="15.75" customHeight="1" x14ac:dyDescent="0.25">
      <c r="A255" s="42"/>
      <c r="B255" s="144"/>
      <c r="C255" s="144"/>
      <c r="D255" s="144"/>
      <c r="E255" s="144"/>
      <c r="F255" s="144"/>
      <c r="G255" s="144"/>
      <c r="H255" s="144"/>
      <c r="I255" s="144"/>
      <c r="J255" s="144"/>
      <c r="K255" s="144"/>
      <c r="L255" s="144"/>
      <c r="M255" s="144"/>
      <c r="N255" s="166"/>
      <c r="O255" s="144"/>
      <c r="P255" s="42"/>
      <c r="Q255" s="42"/>
      <c r="R255" s="42"/>
      <c r="S255" s="42"/>
      <c r="T255" s="42"/>
      <c r="U255" s="42"/>
      <c r="V255" s="42"/>
      <c r="W255" s="42"/>
      <c r="X255" s="42"/>
      <c r="Y255" s="42"/>
      <c r="Z255" s="42"/>
    </row>
    <row r="256" spans="1:26" ht="15.75" customHeight="1" x14ac:dyDescent="0.25">
      <c r="A256" s="42"/>
      <c r="B256" s="144"/>
      <c r="C256" s="144"/>
      <c r="D256" s="144"/>
      <c r="E256" s="144"/>
      <c r="F256" s="144"/>
      <c r="G256" s="144"/>
      <c r="H256" s="144"/>
      <c r="I256" s="144"/>
      <c r="J256" s="144"/>
      <c r="K256" s="144"/>
      <c r="L256" s="144"/>
      <c r="M256" s="144"/>
      <c r="N256" s="166"/>
      <c r="O256" s="144"/>
      <c r="P256" s="42"/>
      <c r="Q256" s="42"/>
      <c r="R256" s="42"/>
      <c r="S256" s="42"/>
      <c r="T256" s="42"/>
      <c r="U256" s="42"/>
      <c r="V256" s="42"/>
      <c r="W256" s="42"/>
      <c r="X256" s="42"/>
      <c r="Y256" s="42"/>
      <c r="Z256" s="42"/>
    </row>
    <row r="257" spans="1:26" ht="15.75" customHeight="1" x14ac:dyDescent="0.25">
      <c r="A257" s="42"/>
      <c r="B257" s="144"/>
      <c r="C257" s="144"/>
      <c r="D257" s="144"/>
      <c r="E257" s="144"/>
      <c r="F257" s="144"/>
      <c r="G257" s="144"/>
      <c r="H257" s="144"/>
      <c r="I257" s="144"/>
      <c r="J257" s="144"/>
      <c r="K257" s="144"/>
      <c r="L257" s="144"/>
      <c r="M257" s="144"/>
      <c r="N257" s="166"/>
      <c r="O257" s="144"/>
      <c r="P257" s="42"/>
      <c r="Q257" s="42"/>
      <c r="R257" s="42"/>
      <c r="S257" s="42"/>
      <c r="T257" s="42"/>
      <c r="U257" s="42"/>
      <c r="V257" s="42"/>
      <c r="W257" s="42"/>
      <c r="X257" s="42"/>
      <c r="Y257" s="42"/>
      <c r="Z257" s="42"/>
    </row>
    <row r="258" spans="1:26" ht="15.75" customHeight="1" x14ac:dyDescent="0.25">
      <c r="A258" s="42"/>
      <c r="B258" s="144"/>
      <c r="C258" s="144"/>
      <c r="D258" s="144"/>
      <c r="E258" s="144"/>
      <c r="F258" s="144"/>
      <c r="G258" s="144"/>
      <c r="H258" s="144"/>
      <c r="I258" s="144"/>
      <c r="J258" s="144"/>
      <c r="K258" s="144"/>
      <c r="L258" s="144"/>
      <c r="M258" s="144"/>
      <c r="N258" s="166"/>
      <c r="O258" s="144"/>
      <c r="P258" s="42"/>
      <c r="Q258" s="42"/>
      <c r="R258" s="42"/>
      <c r="S258" s="42"/>
      <c r="T258" s="42"/>
      <c r="U258" s="42"/>
      <c r="V258" s="42"/>
      <c r="W258" s="42"/>
      <c r="X258" s="42"/>
      <c r="Y258" s="42"/>
      <c r="Z258" s="42"/>
    </row>
    <row r="259" spans="1:26" ht="15.75" customHeight="1" x14ac:dyDescent="0.25">
      <c r="A259" s="42"/>
      <c r="B259" s="144"/>
      <c r="C259" s="144"/>
      <c r="D259" s="144"/>
      <c r="E259" s="144"/>
      <c r="F259" s="144"/>
      <c r="G259" s="144"/>
      <c r="H259" s="144"/>
      <c r="I259" s="144"/>
      <c r="J259" s="144"/>
      <c r="K259" s="144"/>
      <c r="L259" s="144"/>
      <c r="M259" s="144"/>
      <c r="N259" s="166"/>
      <c r="O259" s="144"/>
      <c r="P259" s="42"/>
      <c r="Q259" s="42"/>
      <c r="R259" s="42"/>
      <c r="S259" s="42"/>
      <c r="T259" s="42"/>
      <c r="U259" s="42"/>
      <c r="V259" s="42"/>
      <c r="W259" s="42"/>
      <c r="X259" s="42"/>
      <c r="Y259" s="42"/>
      <c r="Z259" s="42"/>
    </row>
    <row r="260" spans="1:26" ht="15.75" customHeight="1" x14ac:dyDescent="0.25">
      <c r="A260" s="42"/>
      <c r="B260" s="144"/>
      <c r="C260" s="144"/>
      <c r="D260" s="144"/>
      <c r="E260" s="144"/>
      <c r="F260" s="144"/>
      <c r="G260" s="144"/>
      <c r="H260" s="144"/>
      <c r="I260" s="144"/>
      <c r="J260" s="144"/>
      <c r="K260" s="144"/>
      <c r="L260" s="144"/>
      <c r="M260" s="144"/>
      <c r="N260" s="166"/>
      <c r="O260" s="144"/>
      <c r="P260" s="42"/>
      <c r="Q260" s="42"/>
      <c r="R260" s="42"/>
      <c r="S260" s="42"/>
      <c r="T260" s="42"/>
      <c r="U260" s="42"/>
      <c r="V260" s="42"/>
      <c r="W260" s="42"/>
      <c r="X260" s="42"/>
      <c r="Y260" s="42"/>
      <c r="Z260" s="42"/>
    </row>
    <row r="261" spans="1:26" ht="15.75" customHeight="1" x14ac:dyDescent="0.25">
      <c r="A261" s="42"/>
      <c r="B261" s="144"/>
      <c r="C261" s="144"/>
      <c r="D261" s="144"/>
      <c r="E261" s="144"/>
      <c r="F261" s="144"/>
      <c r="G261" s="144"/>
      <c r="H261" s="144"/>
      <c r="I261" s="144"/>
      <c r="J261" s="144"/>
      <c r="K261" s="144"/>
      <c r="L261" s="144"/>
      <c r="M261" s="144"/>
      <c r="N261" s="166"/>
      <c r="O261" s="144"/>
      <c r="P261" s="42"/>
      <c r="Q261" s="42"/>
      <c r="R261" s="42"/>
      <c r="S261" s="42"/>
      <c r="T261" s="42"/>
      <c r="U261" s="42"/>
      <c r="V261" s="42"/>
      <c r="W261" s="42"/>
      <c r="X261" s="42"/>
      <c r="Y261" s="42"/>
      <c r="Z261" s="42"/>
    </row>
    <row r="262" spans="1:26" ht="15.75" customHeight="1" x14ac:dyDescent="0.25">
      <c r="A262" s="42"/>
      <c r="B262" s="144"/>
      <c r="C262" s="144"/>
      <c r="D262" s="144"/>
      <c r="E262" s="144"/>
      <c r="F262" s="144"/>
      <c r="G262" s="144"/>
      <c r="H262" s="144"/>
      <c r="I262" s="144"/>
      <c r="J262" s="144"/>
      <c r="K262" s="144"/>
      <c r="L262" s="144"/>
      <c r="M262" s="144"/>
      <c r="N262" s="166"/>
      <c r="O262" s="144"/>
      <c r="P262" s="42"/>
      <c r="Q262" s="42"/>
      <c r="R262" s="42"/>
      <c r="S262" s="42"/>
      <c r="T262" s="42"/>
      <c r="U262" s="42"/>
      <c r="V262" s="42"/>
      <c r="W262" s="42"/>
      <c r="X262" s="42"/>
      <c r="Y262" s="42"/>
      <c r="Z262" s="42"/>
    </row>
    <row r="263" spans="1:26" ht="15.75" customHeight="1" x14ac:dyDescent="0.25">
      <c r="A263" s="42"/>
      <c r="B263" s="144"/>
      <c r="C263" s="144"/>
      <c r="D263" s="144"/>
      <c r="E263" s="144"/>
      <c r="F263" s="144"/>
      <c r="G263" s="144"/>
      <c r="H263" s="144"/>
      <c r="I263" s="144"/>
      <c r="J263" s="144"/>
      <c r="K263" s="144"/>
      <c r="L263" s="144"/>
      <c r="M263" s="144"/>
      <c r="N263" s="166"/>
      <c r="O263" s="144"/>
      <c r="P263" s="42"/>
      <c r="Q263" s="42"/>
      <c r="R263" s="42"/>
      <c r="S263" s="42"/>
      <c r="T263" s="42"/>
      <c r="U263" s="42"/>
      <c r="V263" s="42"/>
      <c r="W263" s="42"/>
      <c r="X263" s="42"/>
      <c r="Y263" s="42"/>
      <c r="Z263" s="42"/>
    </row>
    <row r="264" spans="1:26" ht="15.75" customHeight="1" x14ac:dyDescent="0.25">
      <c r="A264" s="42"/>
      <c r="B264" s="144"/>
      <c r="C264" s="144"/>
      <c r="D264" s="144"/>
      <c r="E264" s="144"/>
      <c r="F264" s="144"/>
      <c r="G264" s="144"/>
      <c r="H264" s="144"/>
      <c r="I264" s="144"/>
      <c r="J264" s="144"/>
      <c r="K264" s="144"/>
      <c r="L264" s="144"/>
      <c r="M264" s="144"/>
      <c r="N264" s="166"/>
      <c r="O264" s="144"/>
      <c r="P264" s="42"/>
      <c r="Q264" s="42"/>
      <c r="R264" s="42"/>
      <c r="S264" s="42"/>
      <c r="T264" s="42"/>
      <c r="U264" s="42"/>
      <c r="V264" s="42"/>
      <c r="W264" s="42"/>
      <c r="X264" s="42"/>
      <c r="Y264" s="42"/>
      <c r="Z264" s="42"/>
    </row>
    <row r="265" spans="1:26" ht="15.75" customHeight="1" x14ac:dyDescent="0.25">
      <c r="A265" s="42"/>
      <c r="B265" s="144"/>
      <c r="C265" s="144"/>
      <c r="D265" s="144"/>
      <c r="E265" s="144"/>
      <c r="F265" s="144"/>
      <c r="G265" s="144"/>
      <c r="H265" s="144"/>
      <c r="I265" s="144"/>
      <c r="J265" s="144"/>
      <c r="K265" s="144"/>
      <c r="L265" s="144"/>
      <c r="M265" s="144"/>
      <c r="N265" s="166"/>
      <c r="O265" s="144"/>
      <c r="P265" s="42"/>
      <c r="Q265" s="42"/>
      <c r="R265" s="42"/>
      <c r="S265" s="42"/>
      <c r="T265" s="42"/>
      <c r="U265" s="42"/>
      <c r="V265" s="42"/>
      <c r="W265" s="42"/>
      <c r="X265" s="42"/>
      <c r="Y265" s="42"/>
      <c r="Z265" s="42"/>
    </row>
    <row r="266" spans="1:26" ht="15.75" customHeight="1" x14ac:dyDescent="0.25">
      <c r="A266" s="42"/>
      <c r="B266" s="144"/>
      <c r="C266" s="144"/>
      <c r="D266" s="144"/>
      <c r="E266" s="144"/>
      <c r="F266" s="144"/>
      <c r="G266" s="144"/>
      <c r="H266" s="144"/>
      <c r="I266" s="144"/>
      <c r="J266" s="144"/>
      <c r="K266" s="144"/>
      <c r="L266" s="144"/>
      <c r="M266" s="144"/>
      <c r="N266" s="166"/>
      <c r="O266" s="144"/>
      <c r="P266" s="42"/>
      <c r="Q266" s="42"/>
      <c r="R266" s="42"/>
      <c r="S266" s="42"/>
      <c r="T266" s="42"/>
      <c r="U266" s="42"/>
      <c r="V266" s="42"/>
      <c r="W266" s="42"/>
      <c r="X266" s="42"/>
      <c r="Y266" s="42"/>
      <c r="Z266" s="42"/>
    </row>
    <row r="267" spans="1:26" ht="15.75" customHeight="1" x14ac:dyDescent="0.25">
      <c r="A267" s="42"/>
      <c r="B267" s="144"/>
      <c r="C267" s="144"/>
      <c r="D267" s="144"/>
      <c r="E267" s="144"/>
      <c r="F267" s="144"/>
      <c r="G267" s="144"/>
      <c r="H267" s="144"/>
      <c r="I267" s="144"/>
      <c r="J267" s="144"/>
      <c r="K267" s="144"/>
      <c r="L267" s="144"/>
      <c r="M267" s="144"/>
      <c r="N267" s="166"/>
      <c r="O267" s="144"/>
      <c r="P267" s="42"/>
      <c r="Q267" s="42"/>
      <c r="R267" s="42"/>
      <c r="S267" s="42"/>
      <c r="T267" s="42"/>
      <c r="U267" s="42"/>
      <c r="V267" s="42"/>
      <c r="W267" s="42"/>
      <c r="X267" s="42"/>
      <c r="Y267" s="42"/>
      <c r="Z267" s="42"/>
    </row>
    <row r="268" spans="1:26" ht="15.75" customHeight="1" x14ac:dyDescent="0.25">
      <c r="A268" s="42"/>
      <c r="B268" s="144"/>
      <c r="C268" s="144"/>
      <c r="D268" s="144"/>
      <c r="E268" s="144"/>
      <c r="F268" s="144"/>
      <c r="G268" s="144"/>
      <c r="H268" s="144"/>
      <c r="I268" s="144"/>
      <c r="J268" s="144"/>
      <c r="K268" s="144"/>
      <c r="L268" s="144"/>
      <c r="M268" s="144"/>
      <c r="N268" s="166"/>
      <c r="O268" s="144"/>
      <c r="P268" s="42"/>
      <c r="Q268" s="42"/>
      <c r="R268" s="42"/>
      <c r="S268" s="42"/>
      <c r="T268" s="42"/>
      <c r="U268" s="42"/>
      <c r="V268" s="42"/>
      <c r="W268" s="42"/>
      <c r="X268" s="42"/>
      <c r="Y268" s="42"/>
      <c r="Z268" s="42"/>
    </row>
    <row r="269" spans="1:26" ht="15.75" customHeight="1" x14ac:dyDescent="0.25">
      <c r="A269" s="42"/>
      <c r="B269" s="144"/>
      <c r="C269" s="144"/>
      <c r="D269" s="144"/>
      <c r="E269" s="144"/>
      <c r="F269" s="144"/>
      <c r="G269" s="144"/>
      <c r="H269" s="144"/>
      <c r="I269" s="144"/>
      <c r="J269" s="144"/>
      <c r="K269" s="144"/>
      <c r="L269" s="144"/>
      <c r="M269" s="144"/>
      <c r="N269" s="166"/>
      <c r="O269" s="144"/>
      <c r="P269" s="42"/>
      <c r="Q269" s="42"/>
      <c r="R269" s="42"/>
      <c r="S269" s="42"/>
      <c r="T269" s="42"/>
      <c r="U269" s="42"/>
      <c r="V269" s="42"/>
      <c r="W269" s="42"/>
      <c r="X269" s="42"/>
      <c r="Y269" s="42"/>
      <c r="Z269" s="42"/>
    </row>
    <row r="270" spans="1:26" ht="15.75" customHeight="1" x14ac:dyDescent="0.25">
      <c r="A270" s="42"/>
      <c r="B270" s="144"/>
      <c r="C270" s="144"/>
      <c r="D270" s="144"/>
      <c r="E270" s="144"/>
      <c r="F270" s="144"/>
      <c r="G270" s="144"/>
      <c r="H270" s="144"/>
      <c r="I270" s="144"/>
      <c r="J270" s="144"/>
      <c r="K270" s="144"/>
      <c r="L270" s="144"/>
      <c r="M270" s="144"/>
      <c r="N270" s="166"/>
      <c r="O270" s="144"/>
      <c r="P270" s="42"/>
      <c r="Q270" s="42"/>
      <c r="R270" s="42"/>
      <c r="S270" s="42"/>
      <c r="T270" s="42"/>
      <c r="U270" s="42"/>
      <c r="V270" s="42"/>
      <c r="W270" s="42"/>
      <c r="X270" s="42"/>
      <c r="Y270" s="42"/>
      <c r="Z270" s="42"/>
    </row>
    <row r="271" spans="1:26" ht="15.75" customHeight="1" x14ac:dyDescent="0.25">
      <c r="A271" s="42"/>
      <c r="B271" s="144"/>
      <c r="C271" s="144"/>
      <c r="D271" s="144"/>
      <c r="E271" s="144"/>
      <c r="F271" s="144"/>
      <c r="G271" s="144"/>
      <c r="H271" s="144"/>
      <c r="I271" s="144"/>
      <c r="J271" s="144"/>
      <c r="K271" s="144"/>
      <c r="L271" s="144"/>
      <c r="M271" s="144"/>
      <c r="N271" s="166"/>
      <c r="O271" s="144"/>
      <c r="P271" s="42"/>
      <c r="Q271" s="42"/>
      <c r="R271" s="42"/>
      <c r="S271" s="42"/>
      <c r="T271" s="42"/>
      <c r="U271" s="42"/>
      <c r="V271" s="42"/>
      <c r="W271" s="42"/>
      <c r="X271" s="42"/>
      <c r="Y271" s="42"/>
      <c r="Z271" s="42"/>
    </row>
    <row r="272" spans="1:26" ht="15.75" customHeight="1" x14ac:dyDescent="0.25">
      <c r="A272" s="42"/>
      <c r="B272" s="144"/>
      <c r="C272" s="144"/>
      <c r="D272" s="144"/>
      <c r="E272" s="144"/>
      <c r="F272" s="144"/>
      <c r="G272" s="144"/>
      <c r="H272" s="144"/>
      <c r="I272" s="144"/>
      <c r="J272" s="144"/>
      <c r="K272" s="144"/>
      <c r="L272" s="144"/>
      <c r="M272" s="144"/>
      <c r="N272" s="166"/>
      <c r="O272" s="144"/>
      <c r="P272" s="42"/>
      <c r="Q272" s="42"/>
      <c r="R272" s="42"/>
      <c r="S272" s="42"/>
      <c r="T272" s="42"/>
      <c r="U272" s="42"/>
      <c r="V272" s="42"/>
      <c r="W272" s="42"/>
      <c r="X272" s="42"/>
      <c r="Y272" s="42"/>
      <c r="Z272" s="42"/>
    </row>
    <row r="273" spans="1:26" ht="15.75" customHeight="1" x14ac:dyDescent="0.25">
      <c r="A273" s="42"/>
      <c r="B273" s="144"/>
      <c r="C273" s="144"/>
      <c r="D273" s="144"/>
      <c r="E273" s="144"/>
      <c r="F273" s="144"/>
      <c r="G273" s="144"/>
      <c r="H273" s="144"/>
      <c r="I273" s="144"/>
      <c r="J273" s="144"/>
      <c r="K273" s="144"/>
      <c r="L273" s="144"/>
      <c r="M273" s="144"/>
      <c r="N273" s="166"/>
      <c r="O273" s="144"/>
      <c r="P273" s="42"/>
      <c r="Q273" s="42"/>
      <c r="R273" s="42"/>
      <c r="S273" s="42"/>
      <c r="T273" s="42"/>
      <c r="U273" s="42"/>
      <c r="V273" s="42"/>
      <c r="W273" s="42"/>
      <c r="X273" s="42"/>
      <c r="Y273" s="42"/>
      <c r="Z273" s="42"/>
    </row>
    <row r="274" spans="1:26" ht="15.75" customHeight="1" x14ac:dyDescent="0.25">
      <c r="A274" s="42"/>
      <c r="B274" s="144"/>
      <c r="C274" s="144"/>
      <c r="D274" s="144"/>
      <c r="E274" s="144"/>
      <c r="F274" s="144"/>
      <c r="G274" s="144"/>
      <c r="H274" s="144"/>
      <c r="I274" s="144"/>
      <c r="J274" s="144"/>
      <c r="K274" s="144"/>
      <c r="L274" s="144"/>
      <c r="M274" s="144"/>
      <c r="N274" s="166"/>
      <c r="O274" s="144"/>
      <c r="P274" s="42"/>
      <c r="Q274" s="42"/>
      <c r="R274" s="42"/>
      <c r="S274" s="42"/>
      <c r="T274" s="42"/>
      <c r="U274" s="42"/>
      <c r="V274" s="42"/>
      <c r="W274" s="42"/>
      <c r="X274" s="42"/>
      <c r="Y274" s="42"/>
      <c r="Z274" s="42"/>
    </row>
    <row r="275" spans="1:26" ht="15.75" customHeight="1" x14ac:dyDescent="0.25">
      <c r="A275" s="42"/>
      <c r="B275" s="144"/>
      <c r="C275" s="144"/>
      <c r="D275" s="144"/>
      <c r="E275" s="144"/>
      <c r="F275" s="144"/>
      <c r="G275" s="144"/>
      <c r="H275" s="144"/>
      <c r="I275" s="144"/>
      <c r="J275" s="144"/>
      <c r="K275" s="144"/>
      <c r="L275" s="144"/>
      <c r="M275" s="144"/>
      <c r="N275" s="166"/>
      <c r="O275" s="144"/>
      <c r="P275" s="42"/>
      <c r="Q275" s="42"/>
      <c r="R275" s="42"/>
      <c r="S275" s="42"/>
      <c r="T275" s="42"/>
      <c r="U275" s="42"/>
      <c r="V275" s="42"/>
      <c r="W275" s="42"/>
      <c r="X275" s="42"/>
      <c r="Y275" s="42"/>
      <c r="Z275" s="42"/>
    </row>
    <row r="276" spans="1:26" ht="15.75" customHeight="1" x14ac:dyDescent="0.25">
      <c r="A276" s="42"/>
      <c r="B276" s="144"/>
      <c r="C276" s="144"/>
      <c r="D276" s="144"/>
      <c r="E276" s="144"/>
      <c r="F276" s="144"/>
      <c r="G276" s="144"/>
      <c r="H276" s="144"/>
      <c r="I276" s="144"/>
      <c r="J276" s="144"/>
      <c r="K276" s="144"/>
      <c r="L276" s="144"/>
      <c r="M276" s="144"/>
      <c r="N276" s="166"/>
      <c r="O276" s="144"/>
      <c r="P276" s="42"/>
      <c r="Q276" s="42"/>
      <c r="R276" s="42"/>
      <c r="S276" s="42"/>
      <c r="T276" s="42"/>
      <c r="U276" s="42"/>
      <c r="V276" s="42"/>
      <c r="W276" s="42"/>
      <c r="X276" s="42"/>
      <c r="Y276" s="42"/>
      <c r="Z276" s="42"/>
    </row>
    <row r="277" spans="1:26" ht="15.75" customHeight="1" x14ac:dyDescent="0.25">
      <c r="A277" s="42"/>
      <c r="B277" s="144"/>
      <c r="C277" s="144"/>
      <c r="D277" s="144"/>
      <c r="E277" s="144"/>
      <c r="F277" s="144"/>
      <c r="G277" s="144"/>
      <c r="H277" s="144"/>
      <c r="I277" s="144"/>
      <c r="J277" s="144"/>
      <c r="K277" s="144"/>
      <c r="L277" s="144"/>
      <c r="M277" s="144"/>
      <c r="N277" s="166"/>
      <c r="O277" s="144"/>
      <c r="P277" s="42"/>
      <c r="Q277" s="42"/>
      <c r="R277" s="42"/>
      <c r="S277" s="42"/>
      <c r="T277" s="42"/>
      <c r="U277" s="42"/>
      <c r="V277" s="42"/>
      <c r="W277" s="42"/>
      <c r="X277" s="42"/>
      <c r="Y277" s="42"/>
      <c r="Z277" s="42"/>
    </row>
    <row r="278" spans="1:26" ht="15.75" customHeight="1" x14ac:dyDescent="0.25">
      <c r="A278" s="42"/>
      <c r="B278" s="144"/>
      <c r="C278" s="144"/>
      <c r="D278" s="144"/>
      <c r="E278" s="144"/>
      <c r="F278" s="144"/>
      <c r="G278" s="144"/>
      <c r="H278" s="144"/>
      <c r="I278" s="144"/>
      <c r="J278" s="144"/>
      <c r="K278" s="144"/>
      <c r="L278" s="144"/>
      <c r="M278" s="144"/>
      <c r="N278" s="166"/>
      <c r="O278" s="144"/>
      <c r="P278" s="42"/>
      <c r="Q278" s="42"/>
      <c r="R278" s="42"/>
      <c r="S278" s="42"/>
      <c r="T278" s="42"/>
      <c r="U278" s="42"/>
      <c r="V278" s="42"/>
      <c r="W278" s="42"/>
      <c r="X278" s="42"/>
      <c r="Y278" s="42"/>
      <c r="Z278" s="42"/>
    </row>
    <row r="279" spans="1:26" ht="15.75" customHeight="1" x14ac:dyDescent="0.25">
      <c r="A279" s="42"/>
      <c r="B279" s="144"/>
      <c r="C279" s="144"/>
      <c r="D279" s="144"/>
      <c r="E279" s="144"/>
      <c r="F279" s="144"/>
      <c r="G279" s="144"/>
      <c r="H279" s="144"/>
      <c r="I279" s="144"/>
      <c r="J279" s="144"/>
      <c r="K279" s="144"/>
      <c r="L279" s="144"/>
      <c r="M279" s="144"/>
      <c r="N279" s="166"/>
      <c r="O279" s="144"/>
      <c r="P279" s="42"/>
      <c r="Q279" s="42"/>
      <c r="R279" s="42"/>
      <c r="S279" s="42"/>
      <c r="T279" s="42"/>
      <c r="U279" s="42"/>
      <c r="V279" s="42"/>
      <c r="W279" s="42"/>
      <c r="X279" s="42"/>
      <c r="Y279" s="42"/>
      <c r="Z279" s="42"/>
    </row>
    <row r="280" spans="1:26" ht="15.75" customHeight="1" x14ac:dyDescent="0.25">
      <c r="A280" s="42"/>
      <c r="B280" s="144"/>
      <c r="C280" s="144"/>
      <c r="D280" s="144"/>
      <c r="E280" s="144"/>
      <c r="F280" s="144"/>
      <c r="G280" s="144"/>
      <c r="H280" s="144"/>
      <c r="I280" s="144"/>
      <c r="J280" s="144"/>
      <c r="K280" s="144"/>
      <c r="L280" s="144"/>
      <c r="M280" s="144"/>
      <c r="N280" s="166"/>
      <c r="O280" s="144"/>
      <c r="P280" s="42"/>
      <c r="Q280" s="42"/>
      <c r="R280" s="42"/>
      <c r="S280" s="42"/>
      <c r="T280" s="42"/>
      <c r="U280" s="42"/>
      <c r="V280" s="42"/>
      <c r="W280" s="42"/>
      <c r="X280" s="42"/>
      <c r="Y280" s="42"/>
      <c r="Z280" s="42"/>
    </row>
    <row r="281" spans="1:26" ht="15.75" customHeight="1" x14ac:dyDescent="0.25">
      <c r="A281" s="42"/>
      <c r="B281" s="144"/>
      <c r="C281" s="144"/>
      <c r="D281" s="144"/>
      <c r="E281" s="144"/>
      <c r="F281" s="144"/>
      <c r="G281" s="144"/>
      <c r="H281" s="144"/>
      <c r="I281" s="144"/>
      <c r="J281" s="144"/>
      <c r="K281" s="144"/>
      <c r="L281" s="144"/>
      <c r="M281" s="144"/>
      <c r="N281" s="166"/>
      <c r="O281" s="144"/>
      <c r="P281" s="42"/>
      <c r="Q281" s="42"/>
      <c r="R281" s="42"/>
      <c r="S281" s="42"/>
      <c r="T281" s="42"/>
      <c r="U281" s="42"/>
      <c r="V281" s="42"/>
      <c r="W281" s="42"/>
      <c r="X281" s="42"/>
      <c r="Y281" s="42"/>
      <c r="Z281" s="42"/>
    </row>
    <row r="282" spans="1:26" ht="15.75" customHeight="1" x14ac:dyDescent="0.25">
      <c r="A282" s="42"/>
      <c r="B282" s="144"/>
      <c r="C282" s="144"/>
      <c r="D282" s="144"/>
      <c r="E282" s="144"/>
      <c r="F282" s="144"/>
      <c r="G282" s="144"/>
      <c r="H282" s="144"/>
      <c r="I282" s="144"/>
      <c r="J282" s="144"/>
      <c r="K282" s="144"/>
      <c r="L282" s="144"/>
      <c r="M282" s="144"/>
      <c r="N282" s="166"/>
      <c r="O282" s="144"/>
      <c r="P282" s="42"/>
      <c r="Q282" s="42"/>
      <c r="R282" s="42"/>
      <c r="S282" s="42"/>
      <c r="T282" s="42"/>
      <c r="U282" s="42"/>
      <c r="V282" s="42"/>
      <c r="W282" s="42"/>
      <c r="X282" s="42"/>
      <c r="Y282" s="42"/>
      <c r="Z282" s="42"/>
    </row>
    <row r="283" spans="1:26" ht="15.75" customHeight="1" x14ac:dyDescent="0.25">
      <c r="A283" s="42"/>
      <c r="B283" s="144"/>
      <c r="C283" s="144"/>
      <c r="D283" s="144"/>
      <c r="E283" s="144"/>
      <c r="F283" s="144"/>
      <c r="G283" s="144"/>
      <c r="H283" s="144"/>
      <c r="I283" s="144"/>
      <c r="J283" s="144"/>
      <c r="K283" s="144"/>
      <c r="L283" s="144"/>
      <c r="M283" s="144"/>
      <c r="N283" s="166"/>
      <c r="O283" s="144"/>
      <c r="P283" s="42"/>
      <c r="Q283" s="42"/>
      <c r="R283" s="42"/>
      <c r="S283" s="42"/>
      <c r="T283" s="42"/>
      <c r="U283" s="42"/>
      <c r="V283" s="42"/>
      <c r="W283" s="42"/>
      <c r="X283" s="42"/>
      <c r="Y283" s="42"/>
      <c r="Z283" s="42"/>
    </row>
    <row r="284" spans="1:26" ht="15.75" customHeight="1" x14ac:dyDescent="0.25">
      <c r="A284" s="42"/>
      <c r="B284" s="144"/>
      <c r="C284" s="144"/>
      <c r="D284" s="144"/>
      <c r="E284" s="144"/>
      <c r="F284" s="144"/>
      <c r="G284" s="144"/>
      <c r="H284" s="144"/>
      <c r="I284" s="144"/>
      <c r="J284" s="144"/>
      <c r="K284" s="144"/>
      <c r="L284" s="144"/>
      <c r="M284" s="144"/>
      <c r="N284" s="166"/>
      <c r="O284" s="144"/>
      <c r="P284" s="42"/>
      <c r="Q284" s="42"/>
      <c r="R284" s="42"/>
      <c r="S284" s="42"/>
      <c r="T284" s="42"/>
      <c r="U284" s="42"/>
      <c r="V284" s="42"/>
      <c r="W284" s="42"/>
      <c r="X284" s="42"/>
      <c r="Y284" s="42"/>
      <c r="Z284" s="42"/>
    </row>
    <row r="285" spans="1:26" ht="15.75" customHeight="1" x14ac:dyDescent="0.25">
      <c r="A285" s="42"/>
      <c r="B285" s="144"/>
      <c r="C285" s="144"/>
      <c r="D285" s="144"/>
      <c r="E285" s="144"/>
      <c r="F285" s="144"/>
      <c r="G285" s="144"/>
      <c r="H285" s="144"/>
      <c r="I285" s="144"/>
      <c r="J285" s="144"/>
      <c r="K285" s="144"/>
      <c r="L285" s="144"/>
      <c r="M285" s="144"/>
      <c r="N285" s="166"/>
      <c r="O285" s="144"/>
      <c r="P285" s="42"/>
      <c r="Q285" s="42"/>
      <c r="R285" s="42"/>
      <c r="S285" s="42"/>
      <c r="T285" s="42"/>
      <c r="U285" s="42"/>
      <c r="V285" s="42"/>
      <c r="W285" s="42"/>
      <c r="X285" s="42"/>
      <c r="Y285" s="42"/>
      <c r="Z285" s="42"/>
    </row>
    <row r="286" spans="1:26" ht="15.75" customHeight="1" x14ac:dyDescent="0.25">
      <c r="A286" s="42"/>
      <c r="B286" s="144"/>
      <c r="C286" s="144"/>
      <c r="D286" s="144"/>
      <c r="E286" s="144"/>
      <c r="F286" s="144"/>
      <c r="G286" s="144"/>
      <c r="H286" s="144"/>
      <c r="I286" s="144"/>
      <c r="J286" s="144"/>
      <c r="K286" s="144"/>
      <c r="L286" s="144"/>
      <c r="M286" s="144"/>
      <c r="N286" s="166"/>
      <c r="O286" s="144"/>
      <c r="P286" s="42"/>
      <c r="Q286" s="42"/>
      <c r="R286" s="42"/>
      <c r="S286" s="42"/>
      <c r="T286" s="42"/>
      <c r="U286" s="42"/>
      <c r="V286" s="42"/>
      <c r="W286" s="42"/>
      <c r="X286" s="42"/>
      <c r="Y286" s="42"/>
      <c r="Z286" s="42"/>
    </row>
    <row r="287" spans="1:26" ht="15.75" customHeight="1" x14ac:dyDescent="0.25">
      <c r="A287" s="42"/>
      <c r="B287" s="144"/>
      <c r="C287" s="144"/>
      <c r="D287" s="144"/>
      <c r="E287" s="144"/>
      <c r="F287" s="144"/>
      <c r="G287" s="144"/>
      <c r="H287" s="144"/>
      <c r="I287" s="144"/>
      <c r="J287" s="144"/>
      <c r="K287" s="144"/>
      <c r="L287" s="144"/>
      <c r="M287" s="144"/>
      <c r="N287" s="166"/>
      <c r="O287" s="144"/>
      <c r="P287" s="42"/>
      <c r="Q287" s="42"/>
      <c r="R287" s="42"/>
      <c r="S287" s="42"/>
      <c r="T287" s="42"/>
      <c r="U287" s="42"/>
      <c r="V287" s="42"/>
      <c r="W287" s="42"/>
      <c r="X287" s="42"/>
      <c r="Y287" s="42"/>
      <c r="Z287" s="42"/>
    </row>
    <row r="288" spans="1:26" ht="15.75" customHeight="1" x14ac:dyDescent="0.25">
      <c r="A288" s="42"/>
      <c r="B288" s="144"/>
      <c r="C288" s="144"/>
      <c r="D288" s="144"/>
      <c r="E288" s="144"/>
      <c r="F288" s="144"/>
      <c r="G288" s="144"/>
      <c r="H288" s="144"/>
      <c r="I288" s="144"/>
      <c r="J288" s="144"/>
      <c r="K288" s="144"/>
      <c r="L288" s="144"/>
      <c r="M288" s="144"/>
      <c r="N288" s="166"/>
      <c r="O288" s="144"/>
      <c r="P288" s="42"/>
      <c r="Q288" s="42"/>
      <c r="R288" s="42"/>
      <c r="S288" s="42"/>
      <c r="T288" s="42"/>
      <c r="U288" s="42"/>
      <c r="V288" s="42"/>
      <c r="W288" s="42"/>
      <c r="X288" s="42"/>
      <c r="Y288" s="42"/>
      <c r="Z288" s="42"/>
    </row>
    <row r="289" spans="1:26" ht="15.75" customHeight="1" x14ac:dyDescent="0.25">
      <c r="A289" s="42"/>
      <c r="B289" s="144"/>
      <c r="C289" s="144"/>
      <c r="D289" s="144"/>
      <c r="E289" s="144"/>
      <c r="F289" s="144"/>
      <c r="G289" s="144"/>
      <c r="H289" s="144"/>
      <c r="I289" s="144"/>
      <c r="J289" s="144"/>
      <c r="K289" s="144"/>
      <c r="L289" s="144"/>
      <c r="M289" s="144"/>
      <c r="N289" s="166"/>
      <c r="O289" s="144"/>
      <c r="P289" s="42"/>
      <c r="Q289" s="42"/>
      <c r="R289" s="42"/>
      <c r="S289" s="42"/>
      <c r="T289" s="42"/>
      <c r="U289" s="42"/>
      <c r="V289" s="42"/>
      <c r="W289" s="42"/>
      <c r="X289" s="42"/>
      <c r="Y289" s="42"/>
      <c r="Z289" s="42"/>
    </row>
    <row r="290" spans="1:26" ht="15.75" customHeight="1" x14ac:dyDescent="0.25">
      <c r="A290" s="42"/>
      <c r="B290" s="144"/>
      <c r="C290" s="144"/>
      <c r="D290" s="144"/>
      <c r="E290" s="144"/>
      <c r="F290" s="144"/>
      <c r="G290" s="144"/>
      <c r="H290" s="144"/>
      <c r="I290" s="144"/>
      <c r="J290" s="144"/>
      <c r="K290" s="144"/>
      <c r="L290" s="144"/>
      <c r="M290" s="144"/>
      <c r="N290" s="166"/>
      <c r="O290" s="144"/>
      <c r="P290" s="42"/>
      <c r="Q290" s="42"/>
      <c r="R290" s="42"/>
      <c r="S290" s="42"/>
      <c r="T290" s="42"/>
      <c r="U290" s="42"/>
      <c r="V290" s="42"/>
      <c r="W290" s="42"/>
      <c r="X290" s="42"/>
      <c r="Y290" s="42"/>
      <c r="Z290" s="42"/>
    </row>
    <row r="291" spans="1:26" ht="15.75" customHeight="1" x14ac:dyDescent="0.25">
      <c r="A291" s="42"/>
      <c r="B291" s="144"/>
      <c r="C291" s="144"/>
      <c r="D291" s="144"/>
      <c r="E291" s="144"/>
      <c r="F291" s="144"/>
      <c r="G291" s="144"/>
      <c r="H291" s="144"/>
      <c r="I291" s="144"/>
      <c r="J291" s="144"/>
      <c r="K291" s="144"/>
      <c r="L291" s="144"/>
      <c r="M291" s="144"/>
      <c r="N291" s="166"/>
      <c r="O291" s="144"/>
      <c r="P291" s="42"/>
      <c r="Q291" s="42"/>
      <c r="R291" s="42"/>
      <c r="S291" s="42"/>
      <c r="T291" s="42"/>
      <c r="U291" s="42"/>
      <c r="V291" s="42"/>
      <c r="W291" s="42"/>
      <c r="X291" s="42"/>
      <c r="Y291" s="42"/>
      <c r="Z291" s="42"/>
    </row>
    <row r="292" spans="1:26" ht="15.75" customHeight="1" x14ac:dyDescent="0.25">
      <c r="A292" s="42"/>
      <c r="B292" s="144"/>
      <c r="C292" s="144"/>
      <c r="D292" s="144"/>
      <c r="E292" s="144"/>
      <c r="F292" s="144"/>
      <c r="G292" s="144"/>
      <c r="H292" s="144"/>
      <c r="I292" s="144"/>
      <c r="J292" s="144"/>
      <c r="K292" s="144"/>
      <c r="L292" s="144"/>
      <c r="M292" s="144"/>
      <c r="N292" s="166"/>
      <c r="O292" s="144"/>
      <c r="P292" s="42"/>
      <c r="Q292" s="42"/>
      <c r="R292" s="42"/>
      <c r="S292" s="42"/>
      <c r="T292" s="42"/>
      <c r="U292" s="42"/>
      <c r="V292" s="42"/>
      <c r="W292" s="42"/>
      <c r="X292" s="42"/>
      <c r="Y292" s="42"/>
      <c r="Z292" s="42"/>
    </row>
    <row r="293" spans="1:26" ht="15.75" customHeight="1" x14ac:dyDescent="0.25">
      <c r="A293" s="42"/>
      <c r="B293" s="144"/>
      <c r="C293" s="144"/>
      <c r="D293" s="144"/>
      <c r="E293" s="144"/>
      <c r="F293" s="144"/>
      <c r="G293" s="144"/>
      <c r="H293" s="144"/>
      <c r="I293" s="144"/>
      <c r="J293" s="144"/>
      <c r="K293" s="144"/>
      <c r="L293" s="144"/>
      <c r="M293" s="144"/>
      <c r="N293" s="166"/>
      <c r="O293" s="144"/>
      <c r="P293" s="42"/>
      <c r="Q293" s="42"/>
      <c r="R293" s="42"/>
      <c r="S293" s="42"/>
      <c r="T293" s="42"/>
      <c r="U293" s="42"/>
      <c r="V293" s="42"/>
      <c r="W293" s="42"/>
      <c r="X293" s="42"/>
      <c r="Y293" s="42"/>
      <c r="Z293" s="42"/>
    </row>
    <row r="294" spans="1:26" ht="15.75" customHeight="1" x14ac:dyDescent="0.25">
      <c r="A294" s="42"/>
      <c r="B294" s="144"/>
      <c r="C294" s="144"/>
      <c r="D294" s="144"/>
      <c r="E294" s="144"/>
      <c r="F294" s="144"/>
      <c r="G294" s="144"/>
      <c r="H294" s="144"/>
      <c r="I294" s="144"/>
      <c r="J294" s="144"/>
      <c r="K294" s="144"/>
      <c r="L294" s="144"/>
      <c r="M294" s="144"/>
      <c r="N294" s="166"/>
      <c r="O294" s="144"/>
      <c r="P294" s="42"/>
      <c r="Q294" s="42"/>
      <c r="R294" s="42"/>
      <c r="S294" s="42"/>
      <c r="T294" s="42"/>
      <c r="U294" s="42"/>
      <c r="V294" s="42"/>
      <c r="W294" s="42"/>
      <c r="X294" s="42"/>
      <c r="Y294" s="42"/>
      <c r="Z294" s="42"/>
    </row>
    <row r="295" spans="1:26" ht="15.75" customHeight="1" x14ac:dyDescent="0.25">
      <c r="A295" s="42"/>
      <c r="B295" s="144"/>
      <c r="C295" s="144"/>
      <c r="D295" s="144"/>
      <c r="E295" s="144"/>
      <c r="F295" s="144"/>
      <c r="G295" s="144"/>
      <c r="H295" s="144"/>
      <c r="I295" s="144"/>
      <c r="J295" s="144"/>
      <c r="K295" s="144"/>
      <c r="L295" s="144"/>
      <c r="M295" s="144"/>
      <c r="N295" s="166"/>
      <c r="O295" s="144"/>
      <c r="P295" s="42"/>
      <c r="Q295" s="42"/>
      <c r="R295" s="42"/>
      <c r="S295" s="42"/>
      <c r="T295" s="42"/>
      <c r="U295" s="42"/>
      <c r="V295" s="42"/>
      <c r="W295" s="42"/>
      <c r="X295" s="42"/>
      <c r="Y295" s="42"/>
      <c r="Z295" s="42"/>
    </row>
    <row r="296" spans="1:26" ht="15.75" customHeight="1" x14ac:dyDescent="0.25">
      <c r="A296" s="42"/>
      <c r="B296" s="144"/>
      <c r="C296" s="144"/>
      <c r="D296" s="144"/>
      <c r="E296" s="144"/>
      <c r="F296" s="144"/>
      <c r="G296" s="144"/>
      <c r="H296" s="144"/>
      <c r="I296" s="144"/>
      <c r="J296" s="144"/>
      <c r="K296" s="144"/>
      <c r="L296" s="144"/>
      <c r="M296" s="144"/>
      <c r="N296" s="166"/>
      <c r="O296" s="144"/>
      <c r="P296" s="42"/>
      <c r="Q296" s="42"/>
      <c r="R296" s="42"/>
      <c r="S296" s="42"/>
      <c r="T296" s="42"/>
      <c r="U296" s="42"/>
      <c r="V296" s="42"/>
      <c r="W296" s="42"/>
      <c r="X296" s="42"/>
      <c r="Y296" s="42"/>
      <c r="Z296" s="42"/>
    </row>
    <row r="297" spans="1:26" ht="15.75" customHeight="1" x14ac:dyDescent="0.25">
      <c r="A297" s="42"/>
      <c r="B297" s="144"/>
      <c r="C297" s="144"/>
      <c r="D297" s="144"/>
      <c r="E297" s="144"/>
      <c r="F297" s="144"/>
      <c r="G297" s="144"/>
      <c r="H297" s="144"/>
      <c r="I297" s="144"/>
      <c r="J297" s="144"/>
      <c r="K297" s="144"/>
      <c r="L297" s="144"/>
      <c r="M297" s="144"/>
      <c r="N297" s="166"/>
      <c r="O297" s="144"/>
      <c r="P297" s="42"/>
      <c r="Q297" s="42"/>
      <c r="R297" s="42"/>
      <c r="S297" s="42"/>
      <c r="T297" s="42"/>
      <c r="U297" s="42"/>
      <c r="V297" s="42"/>
      <c r="W297" s="42"/>
      <c r="X297" s="42"/>
      <c r="Y297" s="42"/>
      <c r="Z297" s="42"/>
    </row>
    <row r="298" spans="1:26" ht="15.75" customHeight="1" x14ac:dyDescent="0.25">
      <c r="A298" s="42"/>
      <c r="B298" s="144"/>
      <c r="C298" s="144"/>
      <c r="D298" s="144"/>
      <c r="E298" s="144"/>
      <c r="F298" s="144"/>
      <c r="G298" s="144"/>
      <c r="H298" s="144"/>
      <c r="I298" s="144"/>
      <c r="J298" s="144"/>
      <c r="K298" s="144"/>
      <c r="L298" s="144"/>
      <c r="M298" s="144"/>
      <c r="N298" s="166"/>
      <c r="O298" s="144"/>
      <c r="P298" s="42"/>
      <c r="Q298" s="42"/>
      <c r="R298" s="42"/>
      <c r="S298" s="42"/>
      <c r="T298" s="42"/>
      <c r="U298" s="42"/>
      <c r="V298" s="42"/>
      <c r="W298" s="42"/>
      <c r="X298" s="42"/>
      <c r="Y298" s="42"/>
      <c r="Z298" s="42"/>
    </row>
    <row r="299" spans="1:26" ht="15.75" customHeight="1" x14ac:dyDescent="0.25">
      <c r="A299" s="42"/>
      <c r="B299" s="144"/>
      <c r="C299" s="144"/>
      <c r="D299" s="144"/>
      <c r="E299" s="144"/>
      <c r="F299" s="144"/>
      <c r="G299" s="144"/>
      <c r="H299" s="144"/>
      <c r="I299" s="144"/>
      <c r="J299" s="144"/>
      <c r="K299" s="144"/>
      <c r="L299" s="144"/>
      <c r="M299" s="144"/>
      <c r="N299" s="166"/>
      <c r="O299" s="144"/>
      <c r="P299" s="42"/>
      <c r="Q299" s="42"/>
      <c r="R299" s="42"/>
      <c r="S299" s="42"/>
      <c r="T299" s="42"/>
      <c r="U299" s="42"/>
      <c r="V299" s="42"/>
      <c r="W299" s="42"/>
      <c r="X299" s="42"/>
      <c r="Y299" s="42"/>
      <c r="Z299" s="42"/>
    </row>
    <row r="300" spans="1:26" ht="15.75" customHeight="1" x14ac:dyDescent="0.25">
      <c r="A300" s="42"/>
      <c r="B300" s="144"/>
      <c r="C300" s="144"/>
      <c r="D300" s="144"/>
      <c r="E300" s="144"/>
      <c r="F300" s="144"/>
      <c r="G300" s="144"/>
      <c r="H300" s="144"/>
      <c r="I300" s="144"/>
      <c r="J300" s="144"/>
      <c r="K300" s="144"/>
      <c r="L300" s="144"/>
      <c r="M300" s="144"/>
      <c r="N300" s="166"/>
      <c r="O300" s="144"/>
      <c r="P300" s="42"/>
      <c r="Q300" s="42"/>
      <c r="R300" s="42"/>
      <c r="S300" s="42"/>
      <c r="T300" s="42"/>
      <c r="U300" s="42"/>
      <c r="V300" s="42"/>
      <c r="W300" s="42"/>
      <c r="X300" s="42"/>
      <c r="Y300" s="42"/>
      <c r="Z300" s="42"/>
    </row>
    <row r="301" spans="1:26" ht="15.75" customHeight="1" x14ac:dyDescent="0.25">
      <c r="A301" s="42"/>
      <c r="B301" s="144"/>
      <c r="C301" s="144"/>
      <c r="D301" s="144"/>
      <c r="E301" s="144"/>
      <c r="F301" s="144"/>
      <c r="G301" s="144"/>
      <c r="H301" s="144"/>
      <c r="I301" s="144"/>
      <c r="J301" s="144"/>
      <c r="K301" s="144"/>
      <c r="L301" s="144"/>
      <c r="M301" s="144"/>
      <c r="N301" s="166"/>
      <c r="O301" s="144"/>
      <c r="P301" s="42"/>
      <c r="Q301" s="42"/>
      <c r="R301" s="42"/>
      <c r="S301" s="42"/>
      <c r="T301" s="42"/>
      <c r="U301" s="42"/>
      <c r="V301" s="42"/>
      <c r="W301" s="42"/>
      <c r="X301" s="42"/>
      <c r="Y301" s="42"/>
      <c r="Z301" s="42"/>
    </row>
    <row r="302" spans="1:26" ht="15.75" customHeight="1" x14ac:dyDescent="0.25">
      <c r="A302" s="42"/>
      <c r="B302" s="144"/>
      <c r="C302" s="144"/>
      <c r="D302" s="144"/>
      <c r="E302" s="144"/>
      <c r="F302" s="144"/>
      <c r="G302" s="144"/>
      <c r="H302" s="144"/>
      <c r="I302" s="144"/>
      <c r="J302" s="144"/>
      <c r="K302" s="144"/>
      <c r="L302" s="144"/>
      <c r="M302" s="144"/>
      <c r="N302" s="166"/>
      <c r="O302" s="144"/>
      <c r="P302" s="42"/>
      <c r="Q302" s="42"/>
      <c r="R302" s="42"/>
      <c r="S302" s="42"/>
      <c r="T302" s="42"/>
      <c r="U302" s="42"/>
      <c r="V302" s="42"/>
      <c r="W302" s="42"/>
      <c r="X302" s="42"/>
      <c r="Y302" s="42"/>
      <c r="Z302" s="42"/>
    </row>
    <row r="303" spans="1:26" ht="15.75" customHeight="1" x14ac:dyDescent="0.25">
      <c r="A303" s="42"/>
      <c r="B303" s="144"/>
      <c r="C303" s="144"/>
      <c r="D303" s="144"/>
      <c r="E303" s="144"/>
      <c r="F303" s="144"/>
      <c r="G303" s="144"/>
      <c r="H303" s="144"/>
      <c r="I303" s="144"/>
      <c r="J303" s="144"/>
      <c r="K303" s="144"/>
      <c r="L303" s="144"/>
      <c r="M303" s="144"/>
      <c r="N303" s="166"/>
      <c r="O303" s="144"/>
      <c r="P303" s="42"/>
      <c r="Q303" s="42"/>
      <c r="R303" s="42"/>
      <c r="S303" s="42"/>
      <c r="T303" s="42"/>
      <c r="U303" s="42"/>
      <c r="V303" s="42"/>
      <c r="W303" s="42"/>
      <c r="X303" s="42"/>
      <c r="Y303" s="42"/>
      <c r="Z303" s="42"/>
    </row>
    <row r="304" spans="1:26" ht="15.75" customHeight="1" x14ac:dyDescent="0.25">
      <c r="A304" s="42"/>
      <c r="B304" s="144"/>
      <c r="C304" s="144"/>
      <c r="D304" s="144"/>
      <c r="E304" s="144"/>
      <c r="F304" s="144"/>
      <c r="G304" s="144"/>
      <c r="H304" s="144"/>
      <c r="I304" s="144"/>
      <c r="J304" s="144"/>
      <c r="K304" s="144"/>
      <c r="L304" s="144"/>
      <c r="M304" s="144"/>
      <c r="N304" s="166"/>
      <c r="O304" s="144"/>
      <c r="P304" s="42"/>
      <c r="Q304" s="42"/>
      <c r="R304" s="42"/>
      <c r="S304" s="42"/>
      <c r="T304" s="42"/>
      <c r="U304" s="42"/>
      <c r="V304" s="42"/>
      <c r="W304" s="42"/>
      <c r="X304" s="42"/>
      <c r="Y304" s="42"/>
      <c r="Z304" s="42"/>
    </row>
    <row r="305" spans="1:26" ht="15.75" customHeight="1" x14ac:dyDescent="0.25">
      <c r="A305" s="42"/>
      <c r="B305" s="144"/>
      <c r="C305" s="144"/>
      <c r="D305" s="144"/>
      <c r="E305" s="144"/>
      <c r="F305" s="144"/>
      <c r="G305" s="144"/>
      <c r="H305" s="144"/>
      <c r="I305" s="144"/>
      <c r="J305" s="144"/>
      <c r="K305" s="144"/>
      <c r="L305" s="144"/>
      <c r="M305" s="144"/>
      <c r="N305" s="166"/>
      <c r="O305" s="144"/>
      <c r="P305" s="42"/>
      <c r="Q305" s="42"/>
      <c r="R305" s="42"/>
      <c r="S305" s="42"/>
      <c r="T305" s="42"/>
      <c r="U305" s="42"/>
      <c r="V305" s="42"/>
      <c r="W305" s="42"/>
      <c r="X305" s="42"/>
      <c r="Y305" s="42"/>
      <c r="Z305" s="42"/>
    </row>
    <row r="306" spans="1:26" ht="15.75" customHeight="1" x14ac:dyDescent="0.25">
      <c r="A306" s="42"/>
      <c r="B306" s="144"/>
      <c r="C306" s="144"/>
      <c r="D306" s="144"/>
      <c r="E306" s="144"/>
      <c r="F306" s="144"/>
      <c r="G306" s="144"/>
      <c r="H306" s="144"/>
      <c r="I306" s="144"/>
      <c r="J306" s="144"/>
      <c r="K306" s="144"/>
      <c r="L306" s="144"/>
      <c r="M306" s="144"/>
      <c r="N306" s="166"/>
      <c r="O306" s="144"/>
      <c r="P306" s="42"/>
      <c r="Q306" s="42"/>
      <c r="R306" s="42"/>
      <c r="S306" s="42"/>
      <c r="T306" s="42"/>
      <c r="U306" s="42"/>
      <c r="V306" s="42"/>
      <c r="W306" s="42"/>
      <c r="X306" s="42"/>
      <c r="Y306" s="42"/>
      <c r="Z306" s="42"/>
    </row>
    <row r="307" spans="1:26" ht="15.75" customHeight="1" x14ac:dyDescent="0.25">
      <c r="A307" s="42"/>
      <c r="B307" s="144"/>
      <c r="C307" s="144"/>
      <c r="D307" s="144"/>
      <c r="E307" s="144"/>
      <c r="F307" s="144"/>
      <c r="G307" s="144"/>
      <c r="H307" s="144"/>
      <c r="I307" s="144"/>
      <c r="J307" s="144"/>
      <c r="K307" s="144"/>
      <c r="L307" s="144"/>
      <c r="M307" s="144"/>
      <c r="N307" s="166"/>
      <c r="O307" s="144"/>
      <c r="P307" s="42"/>
      <c r="Q307" s="42"/>
      <c r="R307" s="42"/>
      <c r="S307" s="42"/>
      <c r="T307" s="42"/>
      <c r="U307" s="42"/>
      <c r="V307" s="42"/>
      <c r="W307" s="42"/>
      <c r="X307" s="42"/>
      <c r="Y307" s="42"/>
      <c r="Z307" s="42"/>
    </row>
    <row r="308" spans="1:26" ht="15.75" customHeight="1" x14ac:dyDescent="0.25">
      <c r="A308" s="42"/>
      <c r="B308" s="144"/>
      <c r="C308" s="144"/>
      <c r="D308" s="144"/>
      <c r="E308" s="144"/>
      <c r="F308" s="144"/>
      <c r="G308" s="144"/>
      <c r="H308" s="144"/>
      <c r="I308" s="144"/>
      <c r="J308" s="144"/>
      <c r="K308" s="144"/>
      <c r="L308" s="144"/>
      <c r="M308" s="144"/>
      <c r="N308" s="166"/>
      <c r="O308" s="144"/>
      <c r="P308" s="42"/>
      <c r="Q308" s="42"/>
      <c r="R308" s="42"/>
      <c r="S308" s="42"/>
      <c r="T308" s="42"/>
      <c r="U308" s="42"/>
      <c r="V308" s="42"/>
      <c r="W308" s="42"/>
      <c r="X308" s="42"/>
      <c r="Y308" s="42"/>
      <c r="Z308" s="42"/>
    </row>
    <row r="309" spans="1:26" ht="15.75" customHeight="1" x14ac:dyDescent="0.25">
      <c r="A309" s="42"/>
      <c r="B309" s="144"/>
      <c r="C309" s="144"/>
      <c r="D309" s="144"/>
      <c r="E309" s="144"/>
      <c r="F309" s="144"/>
      <c r="G309" s="144"/>
      <c r="H309" s="144"/>
      <c r="I309" s="144"/>
      <c r="J309" s="144"/>
      <c r="K309" s="144"/>
      <c r="L309" s="144"/>
      <c r="M309" s="144"/>
      <c r="N309" s="166"/>
      <c r="O309" s="144"/>
      <c r="P309" s="42"/>
      <c r="Q309" s="42"/>
      <c r="R309" s="42"/>
      <c r="S309" s="42"/>
      <c r="T309" s="42"/>
      <c r="U309" s="42"/>
      <c r="V309" s="42"/>
      <c r="W309" s="42"/>
      <c r="X309" s="42"/>
      <c r="Y309" s="42"/>
      <c r="Z309" s="42"/>
    </row>
    <row r="310" spans="1:26" ht="15.75" customHeight="1" x14ac:dyDescent="0.25">
      <c r="A310" s="42"/>
      <c r="B310" s="144"/>
      <c r="C310" s="144"/>
      <c r="D310" s="144"/>
      <c r="E310" s="144"/>
      <c r="F310" s="144"/>
      <c r="G310" s="144"/>
      <c r="H310" s="144"/>
      <c r="I310" s="144"/>
      <c r="J310" s="144"/>
      <c r="K310" s="144"/>
      <c r="L310" s="144"/>
      <c r="M310" s="144"/>
      <c r="N310" s="166"/>
      <c r="O310" s="144"/>
      <c r="P310" s="42"/>
      <c r="Q310" s="42"/>
      <c r="R310" s="42"/>
      <c r="S310" s="42"/>
      <c r="T310" s="42"/>
      <c r="U310" s="42"/>
      <c r="V310" s="42"/>
      <c r="W310" s="42"/>
      <c r="X310" s="42"/>
      <c r="Y310" s="42"/>
      <c r="Z310" s="42"/>
    </row>
    <row r="311" spans="1:26" ht="15.75" customHeight="1" x14ac:dyDescent="0.25">
      <c r="A311" s="42"/>
      <c r="B311" s="144"/>
      <c r="C311" s="144"/>
      <c r="D311" s="144"/>
      <c r="E311" s="144"/>
      <c r="F311" s="144"/>
      <c r="G311" s="144"/>
      <c r="H311" s="144"/>
      <c r="I311" s="144"/>
      <c r="J311" s="144"/>
      <c r="K311" s="144"/>
      <c r="L311" s="144"/>
      <c r="M311" s="144"/>
      <c r="N311" s="166"/>
      <c r="O311" s="144"/>
      <c r="P311" s="42"/>
      <c r="Q311" s="42"/>
      <c r="R311" s="42"/>
      <c r="S311" s="42"/>
      <c r="T311" s="42"/>
      <c r="U311" s="42"/>
      <c r="V311" s="42"/>
      <c r="W311" s="42"/>
      <c r="X311" s="42"/>
      <c r="Y311" s="42"/>
      <c r="Z311" s="42"/>
    </row>
    <row r="312" spans="1:26" ht="15.75" customHeight="1" x14ac:dyDescent="0.25">
      <c r="A312" s="42"/>
      <c r="B312" s="144"/>
      <c r="C312" s="144"/>
      <c r="D312" s="144"/>
      <c r="E312" s="144"/>
      <c r="F312" s="144"/>
      <c r="G312" s="144"/>
      <c r="H312" s="144"/>
      <c r="I312" s="144"/>
      <c r="J312" s="144"/>
      <c r="K312" s="144"/>
      <c r="L312" s="144"/>
      <c r="M312" s="144"/>
      <c r="N312" s="166"/>
      <c r="O312" s="144"/>
      <c r="P312" s="42"/>
      <c r="Q312" s="42"/>
      <c r="R312" s="42"/>
      <c r="S312" s="42"/>
      <c r="T312" s="42"/>
      <c r="U312" s="42"/>
      <c r="V312" s="42"/>
      <c r="W312" s="42"/>
      <c r="X312" s="42"/>
      <c r="Y312" s="42"/>
      <c r="Z312" s="42"/>
    </row>
    <row r="313" spans="1:26" ht="15.75" customHeight="1" x14ac:dyDescent="0.25">
      <c r="A313" s="42"/>
      <c r="B313" s="144"/>
      <c r="C313" s="144"/>
      <c r="D313" s="144"/>
      <c r="E313" s="144"/>
      <c r="F313" s="144"/>
      <c r="G313" s="144"/>
      <c r="H313" s="144"/>
      <c r="I313" s="144"/>
      <c r="J313" s="144"/>
      <c r="K313" s="144"/>
      <c r="L313" s="144"/>
      <c r="M313" s="144"/>
      <c r="N313" s="166"/>
      <c r="O313" s="144"/>
      <c r="P313" s="42"/>
      <c r="Q313" s="42"/>
      <c r="R313" s="42"/>
      <c r="S313" s="42"/>
      <c r="T313" s="42"/>
      <c r="U313" s="42"/>
      <c r="V313" s="42"/>
      <c r="W313" s="42"/>
      <c r="X313" s="42"/>
      <c r="Y313" s="42"/>
      <c r="Z313" s="42"/>
    </row>
    <row r="314" spans="1:26" ht="15.75" customHeight="1" x14ac:dyDescent="0.25">
      <c r="A314" s="42"/>
      <c r="B314" s="144"/>
      <c r="C314" s="144"/>
      <c r="D314" s="144"/>
      <c r="E314" s="144"/>
      <c r="F314" s="144"/>
      <c r="G314" s="144"/>
      <c r="H314" s="144"/>
      <c r="I314" s="144"/>
      <c r="J314" s="144"/>
      <c r="K314" s="144"/>
      <c r="L314" s="144"/>
      <c r="M314" s="144"/>
      <c r="N314" s="166"/>
      <c r="O314" s="144"/>
      <c r="P314" s="42"/>
      <c r="Q314" s="42"/>
      <c r="R314" s="42"/>
      <c r="S314" s="42"/>
      <c r="T314" s="42"/>
      <c r="U314" s="42"/>
      <c r="V314" s="42"/>
      <c r="W314" s="42"/>
      <c r="X314" s="42"/>
      <c r="Y314" s="42"/>
      <c r="Z314" s="42"/>
    </row>
    <row r="315" spans="1:26" ht="15.75" customHeight="1" x14ac:dyDescent="0.25">
      <c r="A315" s="42"/>
      <c r="B315" s="144"/>
      <c r="C315" s="144"/>
      <c r="D315" s="144"/>
      <c r="E315" s="144"/>
      <c r="F315" s="144"/>
      <c r="G315" s="144"/>
      <c r="H315" s="144"/>
      <c r="I315" s="144"/>
      <c r="J315" s="144"/>
      <c r="K315" s="144"/>
      <c r="L315" s="144"/>
      <c r="M315" s="144"/>
      <c r="N315" s="166"/>
      <c r="O315" s="144"/>
      <c r="P315" s="42"/>
      <c r="Q315" s="42"/>
      <c r="R315" s="42"/>
      <c r="S315" s="42"/>
      <c r="T315" s="42"/>
      <c r="U315" s="42"/>
      <c r="V315" s="42"/>
      <c r="W315" s="42"/>
      <c r="X315" s="42"/>
      <c r="Y315" s="42"/>
      <c r="Z315" s="42"/>
    </row>
    <row r="316" spans="1:26" ht="15.75" customHeight="1" x14ac:dyDescent="0.25">
      <c r="A316" s="42"/>
      <c r="B316" s="144"/>
      <c r="C316" s="144"/>
      <c r="D316" s="144"/>
      <c r="E316" s="144"/>
      <c r="F316" s="144"/>
      <c r="G316" s="144"/>
      <c r="H316" s="144"/>
      <c r="I316" s="144"/>
      <c r="J316" s="144"/>
      <c r="K316" s="144"/>
      <c r="L316" s="144"/>
      <c r="M316" s="144"/>
      <c r="N316" s="166"/>
      <c r="O316" s="144"/>
      <c r="P316" s="42"/>
      <c r="Q316" s="42"/>
      <c r="R316" s="42"/>
      <c r="S316" s="42"/>
      <c r="T316" s="42"/>
      <c r="U316" s="42"/>
      <c r="V316" s="42"/>
      <c r="W316" s="42"/>
      <c r="X316" s="42"/>
      <c r="Y316" s="42"/>
      <c r="Z316" s="42"/>
    </row>
    <row r="317" spans="1:26" ht="15.75" customHeight="1" x14ac:dyDescent="0.25">
      <c r="A317" s="42"/>
      <c r="B317" s="144"/>
      <c r="C317" s="144"/>
      <c r="D317" s="144"/>
      <c r="E317" s="144"/>
      <c r="F317" s="144"/>
      <c r="G317" s="144"/>
      <c r="H317" s="144"/>
      <c r="I317" s="144"/>
      <c r="J317" s="144"/>
      <c r="K317" s="144"/>
      <c r="L317" s="144"/>
      <c r="M317" s="144"/>
      <c r="N317" s="166"/>
      <c r="O317" s="144"/>
      <c r="P317" s="42"/>
      <c r="Q317" s="42"/>
      <c r="R317" s="42"/>
      <c r="S317" s="42"/>
      <c r="T317" s="42"/>
      <c r="U317" s="42"/>
      <c r="V317" s="42"/>
      <c r="W317" s="42"/>
      <c r="X317" s="42"/>
      <c r="Y317" s="42"/>
      <c r="Z317" s="42"/>
    </row>
    <row r="318" spans="1:26" ht="15.75" customHeight="1" x14ac:dyDescent="0.25">
      <c r="A318" s="42"/>
      <c r="B318" s="144"/>
      <c r="C318" s="144"/>
      <c r="D318" s="144"/>
      <c r="E318" s="144"/>
      <c r="F318" s="144"/>
      <c r="G318" s="144"/>
      <c r="H318" s="144"/>
      <c r="I318" s="144"/>
      <c r="J318" s="144"/>
      <c r="K318" s="144"/>
      <c r="L318" s="144"/>
      <c r="M318" s="144"/>
      <c r="N318" s="166"/>
      <c r="O318" s="144"/>
      <c r="P318" s="42"/>
      <c r="Q318" s="42"/>
      <c r="R318" s="42"/>
      <c r="S318" s="42"/>
      <c r="T318" s="42"/>
      <c r="U318" s="42"/>
      <c r="V318" s="42"/>
      <c r="W318" s="42"/>
      <c r="X318" s="42"/>
      <c r="Y318" s="42"/>
      <c r="Z318" s="42"/>
    </row>
    <row r="319" spans="1:26" ht="15.75" customHeight="1" x14ac:dyDescent="0.25">
      <c r="A319" s="42"/>
      <c r="B319" s="144"/>
      <c r="C319" s="144"/>
      <c r="D319" s="144"/>
      <c r="E319" s="144"/>
      <c r="F319" s="144"/>
      <c r="G319" s="144"/>
      <c r="H319" s="144"/>
      <c r="I319" s="144"/>
      <c r="J319" s="144"/>
      <c r="K319" s="144"/>
      <c r="L319" s="144"/>
      <c r="M319" s="144"/>
      <c r="N319" s="166"/>
      <c r="O319" s="144"/>
      <c r="P319" s="42"/>
      <c r="Q319" s="42"/>
      <c r="R319" s="42"/>
      <c r="S319" s="42"/>
      <c r="T319" s="42"/>
      <c r="U319" s="42"/>
      <c r="V319" s="42"/>
      <c r="W319" s="42"/>
      <c r="X319" s="42"/>
      <c r="Y319" s="42"/>
      <c r="Z319" s="42"/>
    </row>
    <row r="320" spans="1:26" ht="15.75" customHeight="1" x14ac:dyDescent="0.25">
      <c r="A320" s="42"/>
      <c r="B320" s="144"/>
      <c r="C320" s="144"/>
      <c r="D320" s="144"/>
      <c r="E320" s="144"/>
      <c r="F320" s="144"/>
      <c r="G320" s="144"/>
      <c r="H320" s="144"/>
      <c r="I320" s="144"/>
      <c r="J320" s="144"/>
      <c r="K320" s="144"/>
      <c r="L320" s="144"/>
      <c r="M320" s="144"/>
      <c r="N320" s="166"/>
      <c r="O320" s="144"/>
      <c r="P320" s="42"/>
      <c r="Q320" s="42"/>
      <c r="R320" s="42"/>
      <c r="S320" s="42"/>
      <c r="T320" s="42"/>
      <c r="U320" s="42"/>
      <c r="V320" s="42"/>
      <c r="W320" s="42"/>
      <c r="X320" s="42"/>
      <c r="Y320" s="42"/>
      <c r="Z320" s="42"/>
    </row>
    <row r="321" spans="1:26" ht="15.75" customHeight="1" x14ac:dyDescent="0.25">
      <c r="A321" s="42"/>
      <c r="B321" s="144"/>
      <c r="C321" s="144"/>
      <c r="D321" s="144"/>
      <c r="E321" s="144"/>
      <c r="F321" s="144"/>
      <c r="G321" s="144"/>
      <c r="H321" s="144"/>
      <c r="I321" s="144"/>
      <c r="J321" s="144"/>
      <c r="K321" s="144"/>
      <c r="L321" s="144"/>
      <c r="M321" s="144"/>
      <c r="N321" s="166"/>
      <c r="O321" s="144"/>
      <c r="P321" s="42"/>
      <c r="Q321" s="42"/>
      <c r="R321" s="42"/>
      <c r="S321" s="42"/>
      <c r="T321" s="42"/>
      <c r="U321" s="42"/>
      <c r="V321" s="42"/>
      <c r="W321" s="42"/>
      <c r="X321" s="42"/>
      <c r="Y321" s="42"/>
      <c r="Z321" s="42"/>
    </row>
    <row r="322" spans="1:26" ht="15.75" customHeight="1" x14ac:dyDescent="0.25">
      <c r="A322" s="42"/>
      <c r="B322" s="144"/>
      <c r="C322" s="144"/>
      <c r="D322" s="144"/>
      <c r="E322" s="144"/>
      <c r="F322" s="144"/>
      <c r="G322" s="144"/>
      <c r="H322" s="144"/>
      <c r="I322" s="144"/>
      <c r="J322" s="144"/>
      <c r="K322" s="144"/>
      <c r="L322" s="144"/>
      <c r="M322" s="144"/>
      <c r="N322" s="166"/>
      <c r="O322" s="144"/>
      <c r="P322" s="42"/>
      <c r="Q322" s="42"/>
      <c r="R322" s="42"/>
      <c r="S322" s="42"/>
      <c r="T322" s="42"/>
      <c r="U322" s="42"/>
      <c r="V322" s="42"/>
      <c r="W322" s="42"/>
      <c r="X322" s="42"/>
      <c r="Y322" s="42"/>
      <c r="Z322" s="42"/>
    </row>
    <row r="323" spans="1:26" ht="15.75" customHeight="1" x14ac:dyDescent="0.25">
      <c r="A323" s="42"/>
      <c r="B323" s="144"/>
      <c r="C323" s="144"/>
      <c r="D323" s="144"/>
      <c r="E323" s="144"/>
      <c r="F323" s="144"/>
      <c r="G323" s="144"/>
      <c r="H323" s="144"/>
      <c r="I323" s="144"/>
      <c r="J323" s="144"/>
      <c r="K323" s="144"/>
      <c r="L323" s="144"/>
      <c r="M323" s="144"/>
      <c r="N323" s="166"/>
      <c r="O323" s="144"/>
      <c r="P323" s="42"/>
      <c r="Q323" s="42"/>
      <c r="R323" s="42"/>
      <c r="S323" s="42"/>
      <c r="T323" s="42"/>
      <c r="U323" s="42"/>
      <c r="V323" s="42"/>
      <c r="W323" s="42"/>
      <c r="X323" s="42"/>
      <c r="Y323" s="42"/>
      <c r="Z323" s="42"/>
    </row>
    <row r="324" spans="1:26" ht="15.75" customHeight="1" x14ac:dyDescent="0.25">
      <c r="A324" s="42"/>
      <c r="B324" s="144"/>
      <c r="C324" s="144"/>
      <c r="D324" s="144"/>
      <c r="E324" s="144"/>
      <c r="F324" s="144"/>
      <c r="G324" s="144"/>
      <c r="H324" s="144"/>
      <c r="I324" s="144"/>
      <c r="J324" s="144"/>
      <c r="K324" s="144"/>
      <c r="L324" s="144"/>
      <c r="M324" s="144"/>
      <c r="N324" s="166"/>
      <c r="O324" s="144"/>
      <c r="P324" s="42"/>
      <c r="Q324" s="42"/>
      <c r="R324" s="42"/>
      <c r="S324" s="42"/>
      <c r="T324" s="42"/>
      <c r="U324" s="42"/>
      <c r="V324" s="42"/>
      <c r="W324" s="42"/>
      <c r="X324" s="42"/>
      <c r="Y324" s="42"/>
      <c r="Z324" s="42"/>
    </row>
    <row r="325" spans="1:26" ht="15.75" customHeight="1" x14ac:dyDescent="0.25">
      <c r="A325" s="42"/>
      <c r="B325" s="144"/>
      <c r="C325" s="144"/>
      <c r="D325" s="144"/>
      <c r="E325" s="144"/>
      <c r="F325" s="144"/>
      <c r="G325" s="144"/>
      <c r="H325" s="144"/>
      <c r="I325" s="144"/>
      <c r="J325" s="144"/>
      <c r="K325" s="144"/>
      <c r="L325" s="144"/>
      <c r="M325" s="144"/>
      <c r="N325" s="166"/>
      <c r="O325" s="144"/>
      <c r="P325" s="42"/>
      <c r="Q325" s="42"/>
      <c r="R325" s="42"/>
      <c r="S325" s="42"/>
      <c r="T325" s="42"/>
      <c r="U325" s="42"/>
      <c r="V325" s="42"/>
      <c r="W325" s="42"/>
      <c r="X325" s="42"/>
      <c r="Y325" s="42"/>
      <c r="Z325" s="42"/>
    </row>
    <row r="326" spans="1:26" ht="15.75" customHeight="1" x14ac:dyDescent="0.25">
      <c r="A326" s="42"/>
      <c r="B326" s="144"/>
      <c r="C326" s="144"/>
      <c r="D326" s="144"/>
      <c r="E326" s="144"/>
      <c r="F326" s="144"/>
      <c r="G326" s="144"/>
      <c r="H326" s="144"/>
      <c r="I326" s="144"/>
      <c r="J326" s="144"/>
      <c r="K326" s="144"/>
      <c r="L326" s="144"/>
      <c r="M326" s="144"/>
      <c r="N326" s="166"/>
      <c r="O326" s="144"/>
      <c r="P326" s="42"/>
      <c r="Q326" s="42"/>
      <c r="R326" s="42"/>
      <c r="S326" s="42"/>
      <c r="T326" s="42"/>
      <c r="U326" s="42"/>
      <c r="V326" s="42"/>
      <c r="W326" s="42"/>
      <c r="X326" s="42"/>
      <c r="Y326" s="42"/>
      <c r="Z326" s="42"/>
    </row>
    <row r="327" spans="1:26" ht="15.75" customHeight="1" x14ac:dyDescent="0.25">
      <c r="A327" s="42"/>
      <c r="B327" s="144"/>
      <c r="C327" s="144"/>
      <c r="D327" s="144"/>
      <c r="E327" s="144"/>
      <c r="F327" s="144"/>
      <c r="G327" s="144"/>
      <c r="H327" s="144"/>
      <c r="I327" s="144"/>
      <c r="J327" s="144"/>
      <c r="K327" s="144"/>
      <c r="L327" s="144"/>
      <c r="M327" s="144"/>
      <c r="N327" s="166"/>
      <c r="O327" s="144"/>
      <c r="P327" s="42"/>
      <c r="Q327" s="42"/>
      <c r="R327" s="42"/>
      <c r="S327" s="42"/>
      <c r="T327" s="42"/>
      <c r="U327" s="42"/>
      <c r="V327" s="42"/>
      <c r="W327" s="42"/>
      <c r="X327" s="42"/>
      <c r="Y327" s="42"/>
      <c r="Z327" s="42"/>
    </row>
    <row r="328" spans="1:26" ht="15.75" customHeight="1" x14ac:dyDescent="0.25">
      <c r="A328" s="42"/>
      <c r="B328" s="144"/>
      <c r="C328" s="144"/>
      <c r="D328" s="144"/>
      <c r="E328" s="144"/>
      <c r="F328" s="144"/>
      <c r="G328" s="144"/>
      <c r="H328" s="144"/>
      <c r="I328" s="144"/>
      <c r="J328" s="144"/>
      <c r="K328" s="144"/>
      <c r="L328" s="144"/>
      <c r="M328" s="144"/>
      <c r="N328" s="166"/>
      <c r="O328" s="144"/>
      <c r="P328" s="42"/>
      <c r="Q328" s="42"/>
      <c r="R328" s="42"/>
      <c r="S328" s="42"/>
      <c r="T328" s="42"/>
      <c r="U328" s="42"/>
      <c r="V328" s="42"/>
      <c r="W328" s="42"/>
      <c r="X328" s="42"/>
      <c r="Y328" s="42"/>
      <c r="Z328" s="42"/>
    </row>
    <row r="329" spans="1:26" ht="15.75" customHeight="1" x14ac:dyDescent="0.25">
      <c r="A329" s="42"/>
      <c r="B329" s="144"/>
      <c r="C329" s="144"/>
      <c r="D329" s="144"/>
      <c r="E329" s="144"/>
      <c r="F329" s="144"/>
      <c r="G329" s="144"/>
      <c r="H329" s="144"/>
      <c r="I329" s="144"/>
      <c r="J329" s="144"/>
      <c r="K329" s="144"/>
      <c r="L329" s="144"/>
      <c r="M329" s="144"/>
      <c r="N329" s="166"/>
      <c r="O329" s="144"/>
      <c r="P329" s="42"/>
      <c r="Q329" s="42"/>
      <c r="R329" s="42"/>
      <c r="S329" s="42"/>
      <c r="T329" s="42"/>
      <c r="U329" s="42"/>
      <c r="V329" s="42"/>
      <c r="W329" s="42"/>
      <c r="X329" s="42"/>
      <c r="Y329" s="42"/>
      <c r="Z329" s="42"/>
    </row>
    <row r="330" spans="1:26" ht="15.75" customHeight="1" x14ac:dyDescent="0.25">
      <c r="A330" s="42"/>
      <c r="B330" s="144"/>
      <c r="C330" s="144"/>
      <c r="D330" s="144"/>
      <c r="E330" s="144"/>
      <c r="F330" s="144"/>
      <c r="G330" s="144"/>
      <c r="H330" s="144"/>
      <c r="I330" s="144"/>
      <c r="J330" s="144"/>
      <c r="K330" s="144"/>
      <c r="L330" s="144"/>
      <c r="M330" s="144"/>
      <c r="N330" s="166"/>
      <c r="O330" s="144"/>
      <c r="P330" s="42"/>
      <c r="Q330" s="42"/>
      <c r="R330" s="42"/>
      <c r="S330" s="42"/>
      <c r="T330" s="42"/>
      <c r="U330" s="42"/>
      <c r="V330" s="42"/>
      <c r="W330" s="42"/>
      <c r="X330" s="42"/>
      <c r="Y330" s="42"/>
      <c r="Z330" s="42"/>
    </row>
    <row r="331" spans="1:26" ht="15.75" customHeight="1" x14ac:dyDescent="0.25">
      <c r="A331" s="42"/>
      <c r="B331" s="144"/>
      <c r="C331" s="144"/>
      <c r="D331" s="144"/>
      <c r="E331" s="144"/>
      <c r="F331" s="144"/>
      <c r="G331" s="144"/>
      <c r="H331" s="144"/>
      <c r="I331" s="144"/>
      <c r="J331" s="144"/>
      <c r="K331" s="144"/>
      <c r="L331" s="144"/>
      <c r="M331" s="144"/>
      <c r="N331" s="166"/>
      <c r="O331" s="144"/>
      <c r="P331" s="42"/>
      <c r="Q331" s="42"/>
      <c r="R331" s="42"/>
      <c r="S331" s="42"/>
      <c r="T331" s="42"/>
      <c r="U331" s="42"/>
      <c r="V331" s="42"/>
      <c r="W331" s="42"/>
      <c r="X331" s="42"/>
      <c r="Y331" s="42"/>
      <c r="Z331" s="42"/>
    </row>
    <row r="332" spans="1:26" ht="15.75" customHeight="1" x14ac:dyDescent="0.25">
      <c r="A332" s="42"/>
      <c r="B332" s="144"/>
      <c r="C332" s="144"/>
      <c r="D332" s="144"/>
      <c r="E332" s="144"/>
      <c r="F332" s="144"/>
      <c r="G332" s="144"/>
      <c r="H332" s="144"/>
      <c r="I332" s="144"/>
      <c r="J332" s="144"/>
      <c r="K332" s="144"/>
      <c r="L332" s="144"/>
      <c r="M332" s="144"/>
      <c r="N332" s="166"/>
      <c r="O332" s="144"/>
      <c r="P332" s="42"/>
      <c r="Q332" s="42"/>
      <c r="R332" s="42"/>
      <c r="S332" s="42"/>
      <c r="T332" s="42"/>
      <c r="U332" s="42"/>
      <c r="V332" s="42"/>
      <c r="W332" s="42"/>
      <c r="X332" s="42"/>
      <c r="Y332" s="42"/>
      <c r="Z332" s="42"/>
    </row>
    <row r="333" spans="1:26" ht="15.75" customHeight="1" x14ac:dyDescent="0.25">
      <c r="A333" s="42"/>
      <c r="B333" s="144"/>
      <c r="C333" s="144"/>
      <c r="D333" s="144"/>
      <c r="E333" s="144"/>
      <c r="F333" s="144"/>
      <c r="G333" s="144"/>
      <c r="H333" s="144"/>
      <c r="I333" s="144"/>
      <c r="J333" s="144"/>
      <c r="K333" s="144"/>
      <c r="L333" s="144"/>
      <c r="M333" s="144"/>
      <c r="N333" s="166"/>
      <c r="O333" s="144"/>
      <c r="P333" s="42"/>
      <c r="Q333" s="42"/>
      <c r="R333" s="42"/>
      <c r="S333" s="42"/>
      <c r="T333" s="42"/>
      <c r="U333" s="42"/>
      <c r="V333" s="42"/>
      <c r="W333" s="42"/>
      <c r="X333" s="42"/>
      <c r="Y333" s="42"/>
      <c r="Z333" s="42"/>
    </row>
    <row r="334" spans="1:26" ht="15.75" customHeight="1" x14ac:dyDescent="0.25">
      <c r="A334" s="42"/>
      <c r="B334" s="144"/>
      <c r="C334" s="144"/>
      <c r="D334" s="144"/>
      <c r="E334" s="144"/>
      <c r="F334" s="144"/>
      <c r="G334" s="144"/>
      <c r="H334" s="144"/>
      <c r="I334" s="144"/>
      <c r="J334" s="144"/>
      <c r="K334" s="144"/>
      <c r="L334" s="144"/>
      <c r="M334" s="144"/>
      <c r="N334" s="166"/>
      <c r="O334" s="144"/>
      <c r="P334" s="42"/>
      <c r="Q334" s="42"/>
      <c r="R334" s="42"/>
      <c r="S334" s="42"/>
      <c r="T334" s="42"/>
      <c r="U334" s="42"/>
      <c r="V334" s="42"/>
      <c r="W334" s="42"/>
      <c r="X334" s="42"/>
      <c r="Y334" s="42"/>
      <c r="Z334" s="42"/>
    </row>
    <row r="335" spans="1:26" ht="15.75" customHeight="1" x14ac:dyDescent="0.25">
      <c r="A335" s="42"/>
      <c r="B335" s="144"/>
      <c r="C335" s="144"/>
      <c r="D335" s="144"/>
      <c r="E335" s="144"/>
      <c r="F335" s="144"/>
      <c r="G335" s="144"/>
      <c r="H335" s="144"/>
      <c r="I335" s="144"/>
      <c r="J335" s="144"/>
      <c r="K335" s="144"/>
      <c r="L335" s="144"/>
      <c r="M335" s="144"/>
      <c r="N335" s="166"/>
      <c r="O335" s="144"/>
      <c r="P335" s="42"/>
      <c r="Q335" s="42"/>
      <c r="R335" s="42"/>
      <c r="S335" s="42"/>
      <c r="T335" s="42"/>
      <c r="U335" s="42"/>
      <c r="V335" s="42"/>
      <c r="W335" s="42"/>
      <c r="X335" s="42"/>
      <c r="Y335" s="42"/>
      <c r="Z335" s="42"/>
    </row>
    <row r="336" spans="1:26" ht="15.75" customHeight="1" x14ac:dyDescent="0.25">
      <c r="A336" s="42"/>
      <c r="B336" s="144"/>
      <c r="C336" s="144"/>
      <c r="D336" s="144"/>
      <c r="E336" s="144"/>
      <c r="F336" s="144"/>
      <c r="G336" s="144"/>
      <c r="H336" s="144"/>
      <c r="I336" s="144"/>
      <c r="J336" s="144"/>
      <c r="K336" s="144"/>
      <c r="L336" s="144"/>
      <c r="M336" s="144"/>
      <c r="N336" s="166"/>
      <c r="O336" s="144"/>
      <c r="P336" s="42"/>
      <c r="Q336" s="42"/>
      <c r="R336" s="42"/>
      <c r="S336" s="42"/>
      <c r="T336" s="42"/>
      <c r="U336" s="42"/>
      <c r="V336" s="42"/>
      <c r="W336" s="42"/>
      <c r="X336" s="42"/>
      <c r="Y336" s="42"/>
      <c r="Z336" s="42"/>
    </row>
    <row r="337" spans="1:26" ht="15.75" customHeight="1" x14ac:dyDescent="0.25">
      <c r="A337" s="42"/>
      <c r="B337" s="144"/>
      <c r="C337" s="144"/>
      <c r="D337" s="144"/>
      <c r="E337" s="144"/>
      <c r="F337" s="144"/>
      <c r="G337" s="144"/>
      <c r="H337" s="144"/>
      <c r="I337" s="144"/>
      <c r="J337" s="144"/>
      <c r="K337" s="144"/>
      <c r="L337" s="144"/>
      <c r="M337" s="144"/>
      <c r="N337" s="166"/>
      <c r="O337" s="144"/>
      <c r="P337" s="42"/>
      <c r="Q337" s="42"/>
      <c r="R337" s="42"/>
      <c r="S337" s="42"/>
      <c r="T337" s="42"/>
      <c r="U337" s="42"/>
      <c r="V337" s="42"/>
      <c r="W337" s="42"/>
      <c r="X337" s="42"/>
      <c r="Y337" s="42"/>
      <c r="Z337" s="42"/>
    </row>
    <row r="338" spans="1:26" ht="15.75" customHeight="1" x14ac:dyDescent="0.25">
      <c r="A338" s="42"/>
      <c r="B338" s="144"/>
      <c r="C338" s="144"/>
      <c r="D338" s="144"/>
      <c r="E338" s="144"/>
      <c r="F338" s="144"/>
      <c r="G338" s="144"/>
      <c r="H338" s="144"/>
      <c r="I338" s="144"/>
      <c r="J338" s="144"/>
      <c r="K338" s="144"/>
      <c r="L338" s="144"/>
      <c r="M338" s="144"/>
      <c r="N338" s="166"/>
      <c r="O338" s="144"/>
      <c r="P338" s="42"/>
      <c r="Q338" s="42"/>
      <c r="R338" s="42"/>
      <c r="S338" s="42"/>
      <c r="T338" s="42"/>
      <c r="U338" s="42"/>
      <c r="V338" s="42"/>
      <c r="W338" s="42"/>
      <c r="X338" s="42"/>
      <c r="Y338" s="42"/>
      <c r="Z338" s="42"/>
    </row>
    <row r="339" spans="1:26" ht="15.75" customHeight="1" x14ac:dyDescent="0.25">
      <c r="A339" s="42"/>
      <c r="B339" s="144"/>
      <c r="C339" s="144"/>
      <c r="D339" s="144"/>
      <c r="E339" s="144"/>
      <c r="F339" s="109"/>
      <c r="G339" s="109"/>
      <c r="H339" s="109"/>
      <c r="I339" s="109"/>
      <c r="J339" s="109"/>
      <c r="K339" s="109"/>
      <c r="L339" s="109"/>
      <c r="M339" s="109"/>
      <c r="N339" s="166"/>
      <c r="O339" s="144"/>
      <c r="P339" s="42"/>
      <c r="Q339" s="42"/>
      <c r="R339" s="42"/>
      <c r="S339" s="42"/>
      <c r="T339" s="42"/>
      <c r="U339" s="42"/>
      <c r="V339" s="42"/>
      <c r="W339" s="42"/>
      <c r="X339" s="42"/>
      <c r="Y339" s="42"/>
      <c r="Z339" s="42"/>
    </row>
    <row r="340" spans="1:26" ht="15.75" customHeight="1" x14ac:dyDescent="0.25">
      <c r="A340" s="42"/>
      <c r="B340" s="144"/>
      <c r="C340" s="144"/>
      <c r="D340" s="144"/>
      <c r="E340" s="144"/>
      <c r="F340" s="109"/>
      <c r="G340" s="109"/>
      <c r="H340" s="109"/>
      <c r="I340" s="109"/>
      <c r="J340" s="109"/>
      <c r="K340" s="109"/>
      <c r="L340" s="109"/>
      <c r="M340" s="109"/>
      <c r="N340" s="166"/>
      <c r="O340" s="144"/>
      <c r="P340" s="42"/>
      <c r="Q340" s="42"/>
      <c r="R340" s="42"/>
      <c r="S340" s="42"/>
      <c r="T340" s="42"/>
      <c r="U340" s="42"/>
      <c r="V340" s="42"/>
      <c r="W340" s="42"/>
      <c r="X340" s="42"/>
      <c r="Y340" s="42"/>
      <c r="Z340" s="42"/>
    </row>
    <row r="341" spans="1:26" ht="15.75" customHeight="1" x14ac:dyDescent="0.25">
      <c r="A341" s="42"/>
      <c r="B341" s="144"/>
      <c r="C341" s="144"/>
      <c r="D341" s="144"/>
      <c r="E341" s="144"/>
      <c r="F341" s="109"/>
      <c r="G341" s="109"/>
      <c r="H341" s="109"/>
      <c r="I341" s="109"/>
      <c r="J341" s="109"/>
      <c r="K341" s="109"/>
      <c r="L341" s="109"/>
      <c r="M341" s="109"/>
      <c r="N341" s="166"/>
      <c r="O341" s="144"/>
      <c r="P341" s="42"/>
      <c r="Q341" s="42"/>
      <c r="R341" s="42"/>
      <c r="S341" s="42"/>
      <c r="T341" s="42"/>
      <c r="U341" s="42"/>
      <c r="V341" s="42"/>
      <c r="W341" s="42"/>
      <c r="X341" s="42"/>
      <c r="Y341" s="42"/>
      <c r="Z341" s="42"/>
    </row>
    <row r="342" spans="1:26" ht="15.75" customHeight="1" x14ac:dyDescent="0.25">
      <c r="A342" s="42"/>
      <c r="B342" s="144"/>
      <c r="C342" s="144"/>
      <c r="D342" s="144"/>
      <c r="E342" s="144"/>
      <c r="F342" s="109"/>
      <c r="G342" s="109"/>
      <c r="H342" s="109"/>
      <c r="I342" s="109"/>
      <c r="J342" s="109"/>
      <c r="K342" s="109"/>
      <c r="L342" s="109"/>
      <c r="M342" s="109"/>
      <c r="N342" s="166"/>
      <c r="O342" s="144"/>
      <c r="P342" s="42"/>
      <c r="Q342" s="42"/>
      <c r="R342" s="42"/>
      <c r="S342" s="42"/>
      <c r="T342" s="42"/>
      <c r="U342" s="42"/>
      <c r="V342" s="42"/>
      <c r="W342" s="42"/>
      <c r="X342" s="42"/>
      <c r="Y342" s="42"/>
      <c r="Z342" s="42"/>
    </row>
    <row r="343" spans="1:26" ht="15.75" customHeight="1" x14ac:dyDescent="0.25">
      <c r="A343" s="42"/>
      <c r="B343" s="144"/>
      <c r="C343" s="144"/>
      <c r="D343" s="144"/>
      <c r="E343" s="144"/>
      <c r="F343" s="109"/>
      <c r="G343" s="109"/>
      <c r="H343" s="109"/>
      <c r="I343" s="109"/>
      <c r="J343" s="109"/>
      <c r="K343" s="109"/>
      <c r="L343" s="109"/>
      <c r="M343" s="109"/>
      <c r="N343" s="166"/>
      <c r="O343" s="144"/>
      <c r="P343" s="42"/>
      <c r="Q343" s="42"/>
      <c r="R343" s="42"/>
      <c r="S343" s="42"/>
      <c r="T343" s="42"/>
      <c r="U343" s="42"/>
      <c r="V343" s="42"/>
      <c r="W343" s="42"/>
      <c r="X343" s="42"/>
      <c r="Y343" s="42"/>
      <c r="Z343" s="42"/>
    </row>
    <row r="344" spans="1:26" ht="15.75" customHeight="1" x14ac:dyDescent="0.25">
      <c r="A344" s="42"/>
      <c r="B344" s="144"/>
      <c r="C344" s="144"/>
      <c r="D344" s="144"/>
      <c r="E344" s="144"/>
      <c r="F344" s="109"/>
      <c r="G344" s="109"/>
      <c r="H344" s="109"/>
      <c r="I344" s="109"/>
      <c r="J344" s="109"/>
      <c r="K344" s="109"/>
      <c r="L344" s="109"/>
      <c r="M344" s="109"/>
      <c r="N344" s="166"/>
      <c r="O344" s="144"/>
      <c r="P344" s="42"/>
      <c r="Q344" s="42"/>
      <c r="R344" s="42"/>
      <c r="S344" s="42"/>
      <c r="T344" s="42"/>
      <c r="U344" s="42"/>
      <c r="V344" s="42"/>
      <c r="W344" s="42"/>
      <c r="X344" s="42"/>
      <c r="Y344" s="42"/>
      <c r="Z344" s="42"/>
    </row>
    <row r="345" spans="1:26" ht="15.75" customHeight="1" x14ac:dyDescent="0.25">
      <c r="A345" s="42"/>
      <c r="B345" s="144"/>
      <c r="C345" s="144"/>
      <c r="D345" s="144"/>
      <c r="E345" s="144"/>
      <c r="F345" s="109"/>
      <c r="G345" s="109"/>
      <c r="H345" s="109"/>
      <c r="I345" s="109"/>
      <c r="J345" s="109"/>
      <c r="K345" s="109"/>
      <c r="L345" s="109"/>
      <c r="M345" s="109"/>
      <c r="N345" s="166"/>
      <c r="O345" s="144"/>
      <c r="P345" s="42"/>
      <c r="Q345" s="42"/>
      <c r="R345" s="42"/>
      <c r="S345" s="42"/>
      <c r="T345" s="42"/>
      <c r="U345" s="42"/>
      <c r="V345" s="42"/>
      <c r="W345" s="42"/>
      <c r="X345" s="42"/>
      <c r="Y345" s="42"/>
      <c r="Z345" s="42"/>
    </row>
    <row r="346" spans="1:26" ht="15.75" customHeight="1" x14ac:dyDescent="0.25">
      <c r="A346" s="42"/>
      <c r="B346" s="144"/>
      <c r="C346" s="144"/>
      <c r="D346" s="144"/>
      <c r="E346" s="144"/>
      <c r="F346" s="109"/>
      <c r="G346" s="109"/>
      <c r="H346" s="109"/>
      <c r="I346" s="109"/>
      <c r="J346" s="109"/>
      <c r="K346" s="109"/>
      <c r="L346" s="109"/>
      <c r="M346" s="109"/>
      <c r="N346" s="166"/>
      <c r="O346" s="144"/>
      <c r="P346" s="42"/>
      <c r="Q346" s="42"/>
      <c r="R346" s="42"/>
      <c r="S346" s="42"/>
      <c r="T346" s="42"/>
      <c r="U346" s="42"/>
      <c r="V346" s="42"/>
      <c r="W346" s="42"/>
      <c r="X346" s="42"/>
      <c r="Y346" s="42"/>
      <c r="Z346" s="42"/>
    </row>
    <row r="347" spans="1:26" ht="15.75" customHeight="1" x14ac:dyDescent="0.25">
      <c r="A347" s="42"/>
      <c r="B347" s="144"/>
      <c r="C347" s="144"/>
      <c r="D347" s="144"/>
      <c r="E347" s="144"/>
      <c r="F347" s="109"/>
      <c r="G347" s="109"/>
      <c r="H347" s="109"/>
      <c r="I347" s="109"/>
      <c r="J347" s="109"/>
      <c r="K347" s="109"/>
      <c r="L347" s="109"/>
      <c r="M347" s="109"/>
      <c r="N347" s="166"/>
      <c r="O347" s="144"/>
      <c r="P347" s="42"/>
      <c r="Q347" s="42"/>
      <c r="R347" s="42"/>
      <c r="S347" s="42"/>
      <c r="T347" s="42"/>
      <c r="U347" s="42"/>
      <c r="V347" s="42"/>
      <c r="W347" s="42"/>
      <c r="X347" s="42"/>
      <c r="Y347" s="42"/>
      <c r="Z347" s="42"/>
    </row>
    <row r="348" spans="1:26" ht="15.75" customHeight="1" x14ac:dyDescent="0.25">
      <c r="A348" s="42"/>
      <c r="B348" s="144"/>
      <c r="C348" s="144"/>
      <c r="D348" s="144"/>
      <c r="E348" s="144"/>
      <c r="F348" s="109"/>
      <c r="G348" s="109"/>
      <c r="H348" s="109"/>
      <c r="I348" s="109"/>
      <c r="J348" s="109"/>
      <c r="K348" s="109"/>
      <c r="L348" s="109"/>
      <c r="M348" s="109"/>
      <c r="N348" s="166"/>
      <c r="O348" s="144"/>
      <c r="P348" s="42"/>
      <c r="Q348" s="42"/>
      <c r="R348" s="42"/>
      <c r="S348" s="42"/>
      <c r="T348" s="42"/>
      <c r="U348" s="42"/>
      <c r="V348" s="42"/>
      <c r="W348" s="42"/>
      <c r="X348" s="42"/>
      <c r="Y348" s="42"/>
      <c r="Z348" s="42"/>
    </row>
    <row r="349" spans="1:26" ht="15.75" customHeight="1" x14ac:dyDescent="0.25">
      <c r="A349" s="42"/>
      <c r="B349" s="144"/>
      <c r="C349" s="144"/>
      <c r="D349" s="144"/>
      <c r="E349" s="144"/>
      <c r="F349" s="109"/>
      <c r="G349" s="109"/>
      <c r="H349" s="109"/>
      <c r="I349" s="109"/>
      <c r="J349" s="109"/>
      <c r="K349" s="109"/>
      <c r="L349" s="109"/>
      <c r="M349" s="109"/>
      <c r="N349" s="166"/>
      <c r="O349" s="144"/>
      <c r="P349" s="42"/>
      <c r="Q349" s="42"/>
      <c r="R349" s="42"/>
      <c r="S349" s="42"/>
      <c r="T349" s="42"/>
      <c r="U349" s="42"/>
      <c r="V349" s="42"/>
      <c r="W349" s="42"/>
      <c r="X349" s="42"/>
      <c r="Y349" s="42"/>
      <c r="Z349" s="42"/>
    </row>
    <row r="350" spans="1:26" ht="15.75" customHeight="1" x14ac:dyDescent="0.25">
      <c r="A350" s="42"/>
      <c r="B350" s="144"/>
      <c r="C350" s="144"/>
      <c r="D350" s="144"/>
      <c r="E350" s="144"/>
      <c r="F350" s="109"/>
      <c r="G350" s="109"/>
      <c r="H350" s="109"/>
      <c r="I350" s="109"/>
      <c r="J350" s="109"/>
      <c r="K350" s="109"/>
      <c r="L350" s="109"/>
      <c r="M350" s="109"/>
      <c r="N350" s="166"/>
      <c r="O350" s="144"/>
      <c r="P350" s="42"/>
      <c r="Q350" s="42"/>
      <c r="R350" s="42"/>
      <c r="S350" s="42"/>
      <c r="T350" s="42"/>
      <c r="U350" s="42"/>
      <c r="V350" s="42"/>
      <c r="W350" s="42"/>
      <c r="X350" s="42"/>
      <c r="Y350" s="42"/>
      <c r="Z350" s="42"/>
    </row>
    <row r="351" spans="1:26" ht="15.75" customHeight="1" x14ac:dyDescent="0.25">
      <c r="A351" s="42"/>
      <c r="B351" s="144"/>
      <c r="C351" s="144"/>
      <c r="D351" s="144"/>
      <c r="E351" s="144"/>
      <c r="F351" s="109"/>
      <c r="G351" s="109"/>
      <c r="H351" s="109"/>
      <c r="I351" s="109"/>
      <c r="J351" s="109"/>
      <c r="K351" s="109"/>
      <c r="L351" s="109"/>
      <c r="M351" s="109"/>
      <c r="N351" s="166"/>
      <c r="O351" s="144"/>
      <c r="P351" s="42"/>
      <c r="Q351" s="42"/>
      <c r="R351" s="42"/>
      <c r="S351" s="42"/>
      <c r="T351" s="42"/>
      <c r="U351" s="42"/>
      <c r="V351" s="42"/>
      <c r="W351" s="42"/>
      <c r="X351" s="42"/>
      <c r="Y351" s="42"/>
      <c r="Z351" s="42"/>
    </row>
    <row r="352" spans="1:26" ht="15.75" customHeight="1" x14ac:dyDescent="0.25">
      <c r="A352" s="42"/>
      <c r="B352" s="144"/>
      <c r="C352" s="144"/>
      <c r="D352" s="144"/>
      <c r="E352" s="144"/>
      <c r="F352" s="109"/>
      <c r="G352" s="109"/>
      <c r="H352" s="109"/>
      <c r="I352" s="109"/>
      <c r="J352" s="109"/>
      <c r="K352" s="109"/>
      <c r="L352" s="109"/>
      <c r="M352" s="109"/>
      <c r="N352" s="166"/>
      <c r="O352" s="144"/>
      <c r="P352" s="42"/>
      <c r="Q352" s="42"/>
      <c r="R352" s="42"/>
      <c r="S352" s="42"/>
      <c r="T352" s="42"/>
      <c r="U352" s="42"/>
      <c r="V352" s="42"/>
      <c r="W352" s="42"/>
      <c r="X352" s="42"/>
      <c r="Y352" s="42"/>
      <c r="Z352" s="42"/>
    </row>
    <row r="353" spans="1:26" ht="15.75" customHeight="1" x14ac:dyDescent="0.25">
      <c r="A353" s="42"/>
      <c r="B353" s="144"/>
      <c r="C353" s="144"/>
      <c r="D353" s="144"/>
      <c r="E353" s="144"/>
      <c r="F353" s="109"/>
      <c r="G353" s="109"/>
      <c r="H353" s="109"/>
      <c r="I353" s="109"/>
      <c r="J353" s="109"/>
      <c r="K353" s="109"/>
      <c r="L353" s="109"/>
      <c r="M353" s="109"/>
      <c r="N353" s="166"/>
      <c r="O353" s="144"/>
      <c r="P353" s="42"/>
      <c r="Q353" s="42"/>
      <c r="R353" s="42"/>
      <c r="S353" s="42"/>
      <c r="T353" s="42"/>
      <c r="U353" s="42"/>
      <c r="V353" s="42"/>
      <c r="W353" s="42"/>
      <c r="X353" s="42"/>
      <c r="Y353" s="42"/>
      <c r="Z353" s="42"/>
    </row>
    <row r="354" spans="1:26" ht="15.75" customHeight="1" x14ac:dyDescent="0.25">
      <c r="A354" s="42"/>
      <c r="B354" s="144"/>
      <c r="C354" s="144"/>
      <c r="D354" s="144"/>
      <c r="E354" s="144"/>
      <c r="F354" s="109"/>
      <c r="G354" s="109"/>
      <c r="H354" s="109"/>
      <c r="I354" s="109"/>
      <c r="J354" s="109"/>
      <c r="K354" s="109"/>
      <c r="L354" s="109"/>
      <c r="M354" s="109"/>
      <c r="N354" s="166"/>
      <c r="O354" s="144"/>
      <c r="P354" s="42"/>
      <c r="Q354" s="42"/>
      <c r="R354" s="42"/>
      <c r="S354" s="42"/>
      <c r="T354" s="42"/>
      <c r="U354" s="42"/>
      <c r="V354" s="42"/>
      <c r="W354" s="42"/>
      <c r="X354" s="42"/>
      <c r="Y354" s="42"/>
      <c r="Z354" s="42"/>
    </row>
    <row r="355" spans="1:26" ht="15.75" customHeight="1" x14ac:dyDescent="0.25">
      <c r="A355" s="42"/>
      <c r="B355" s="144"/>
      <c r="C355" s="144"/>
      <c r="D355" s="144"/>
      <c r="E355" s="144"/>
      <c r="F355" s="109"/>
      <c r="G355" s="109"/>
      <c r="H355" s="109"/>
      <c r="I355" s="109"/>
      <c r="J355" s="109"/>
      <c r="K355" s="109"/>
      <c r="L355" s="109"/>
      <c r="M355" s="109"/>
      <c r="N355" s="166"/>
      <c r="O355" s="144"/>
      <c r="P355" s="42"/>
      <c r="Q355" s="42"/>
      <c r="R355" s="42"/>
      <c r="S355" s="42"/>
      <c r="T355" s="42"/>
      <c r="U355" s="42"/>
      <c r="V355" s="42"/>
      <c r="W355" s="42"/>
      <c r="X355" s="42"/>
      <c r="Y355" s="42"/>
      <c r="Z355" s="42"/>
    </row>
    <row r="356" spans="1:26" ht="15.75" customHeight="1" x14ac:dyDescent="0.25">
      <c r="A356" s="42"/>
      <c r="B356" s="144"/>
      <c r="C356" s="144"/>
      <c r="D356" s="144"/>
      <c r="E356" s="144"/>
      <c r="F356" s="109"/>
      <c r="G356" s="109"/>
      <c r="H356" s="109"/>
      <c r="I356" s="109"/>
      <c r="J356" s="109"/>
      <c r="K356" s="109"/>
      <c r="L356" s="109"/>
      <c r="M356" s="109"/>
      <c r="N356" s="166"/>
      <c r="O356" s="144"/>
      <c r="P356" s="42"/>
      <c r="Q356" s="42"/>
      <c r="R356" s="42"/>
      <c r="S356" s="42"/>
      <c r="T356" s="42"/>
      <c r="U356" s="42"/>
      <c r="V356" s="42"/>
      <c r="W356" s="42"/>
      <c r="X356" s="42"/>
      <c r="Y356" s="42"/>
      <c r="Z356" s="42"/>
    </row>
    <row r="357" spans="1:26" ht="15.75" customHeight="1" x14ac:dyDescent="0.25">
      <c r="A357" s="42"/>
      <c r="B357" s="144"/>
      <c r="C357" s="144"/>
      <c r="D357" s="144"/>
      <c r="E357" s="144"/>
      <c r="F357" s="109"/>
      <c r="G357" s="109"/>
      <c r="H357" s="109"/>
      <c r="I357" s="109"/>
      <c r="J357" s="109"/>
      <c r="K357" s="109"/>
      <c r="L357" s="109"/>
      <c r="M357" s="109"/>
      <c r="N357" s="166"/>
      <c r="O357" s="144"/>
      <c r="P357" s="42"/>
      <c r="Q357" s="42"/>
      <c r="R357" s="42"/>
      <c r="S357" s="42"/>
      <c r="T357" s="42"/>
      <c r="U357" s="42"/>
      <c r="V357" s="42"/>
      <c r="W357" s="42"/>
      <c r="X357" s="42"/>
      <c r="Y357" s="42"/>
      <c r="Z357" s="42"/>
    </row>
    <row r="358" spans="1:26" ht="15.75" customHeight="1" x14ac:dyDescent="0.25">
      <c r="A358" s="42"/>
      <c r="B358" s="144"/>
      <c r="C358" s="144"/>
      <c r="D358" s="144"/>
      <c r="E358" s="144"/>
      <c r="F358" s="109"/>
      <c r="G358" s="109"/>
      <c r="H358" s="109"/>
      <c r="I358" s="109"/>
      <c r="J358" s="109"/>
      <c r="K358" s="109"/>
      <c r="L358" s="109"/>
      <c r="M358" s="109"/>
      <c r="N358" s="166"/>
      <c r="O358" s="144"/>
      <c r="P358" s="42"/>
      <c r="Q358" s="42"/>
      <c r="R358" s="42"/>
      <c r="S358" s="42"/>
      <c r="T358" s="42"/>
      <c r="U358" s="42"/>
      <c r="V358" s="42"/>
      <c r="W358" s="42"/>
      <c r="X358" s="42"/>
      <c r="Y358" s="42"/>
      <c r="Z358" s="42"/>
    </row>
    <row r="359" spans="1:26" ht="15.75" customHeight="1" x14ac:dyDescent="0.25">
      <c r="A359" s="42"/>
      <c r="B359" s="144"/>
      <c r="C359" s="144"/>
      <c r="D359" s="144"/>
      <c r="E359" s="144"/>
      <c r="F359" s="109"/>
      <c r="G359" s="109"/>
      <c r="H359" s="109"/>
      <c r="I359" s="109"/>
      <c r="J359" s="109"/>
      <c r="K359" s="109"/>
      <c r="L359" s="109"/>
      <c r="M359" s="109"/>
      <c r="N359" s="166"/>
      <c r="O359" s="144"/>
      <c r="P359" s="42"/>
      <c r="Q359" s="42"/>
      <c r="R359" s="42"/>
      <c r="S359" s="42"/>
      <c r="T359" s="42"/>
      <c r="U359" s="42"/>
      <c r="V359" s="42"/>
      <c r="W359" s="42"/>
      <c r="X359" s="42"/>
      <c r="Y359" s="42"/>
      <c r="Z359" s="42"/>
    </row>
    <row r="360" spans="1:26" ht="15.75" customHeight="1" x14ac:dyDescent="0.25">
      <c r="A360" s="42"/>
      <c r="B360" s="144"/>
      <c r="C360" s="144"/>
      <c r="D360" s="144"/>
      <c r="E360" s="144"/>
      <c r="F360" s="109"/>
      <c r="G360" s="109"/>
      <c r="H360" s="109"/>
      <c r="I360" s="109"/>
      <c r="J360" s="109"/>
      <c r="K360" s="109"/>
      <c r="L360" s="109"/>
      <c r="M360" s="109"/>
      <c r="N360" s="166"/>
      <c r="O360" s="144"/>
      <c r="P360" s="42"/>
      <c r="Q360" s="42"/>
      <c r="R360" s="42"/>
      <c r="S360" s="42"/>
      <c r="T360" s="42"/>
      <c r="U360" s="42"/>
      <c r="V360" s="42"/>
      <c r="W360" s="42"/>
      <c r="X360" s="42"/>
      <c r="Y360" s="42"/>
      <c r="Z360" s="42"/>
    </row>
    <row r="361" spans="1:26" ht="15.75" customHeight="1" x14ac:dyDescent="0.25">
      <c r="A361" s="42"/>
      <c r="B361" s="144"/>
      <c r="C361" s="144"/>
      <c r="D361" s="144"/>
      <c r="E361" s="144"/>
      <c r="F361" s="109"/>
      <c r="G361" s="109"/>
      <c r="H361" s="109"/>
      <c r="I361" s="109"/>
      <c r="J361" s="109"/>
      <c r="K361" s="109"/>
      <c r="L361" s="109"/>
      <c r="M361" s="109"/>
      <c r="N361" s="166"/>
      <c r="O361" s="144"/>
      <c r="P361" s="42"/>
      <c r="Q361" s="42"/>
      <c r="R361" s="42"/>
      <c r="S361" s="42"/>
      <c r="T361" s="42"/>
      <c r="U361" s="42"/>
      <c r="V361" s="42"/>
      <c r="W361" s="42"/>
      <c r="X361" s="42"/>
      <c r="Y361" s="42"/>
      <c r="Z361" s="42"/>
    </row>
    <row r="362" spans="1:26" ht="15.75" customHeight="1" x14ac:dyDescent="0.25">
      <c r="A362" s="42"/>
      <c r="B362" s="144"/>
      <c r="C362" s="144"/>
      <c r="D362" s="144"/>
      <c r="E362" s="144"/>
      <c r="F362" s="109"/>
      <c r="G362" s="109"/>
      <c r="H362" s="109"/>
      <c r="I362" s="109"/>
      <c r="J362" s="109"/>
      <c r="K362" s="109"/>
      <c r="L362" s="109"/>
      <c r="M362" s="109"/>
      <c r="N362" s="166"/>
      <c r="O362" s="144"/>
      <c r="P362" s="42"/>
      <c r="Q362" s="42"/>
      <c r="R362" s="42"/>
      <c r="S362" s="42"/>
      <c r="T362" s="42"/>
      <c r="U362" s="42"/>
      <c r="V362" s="42"/>
      <c r="W362" s="42"/>
      <c r="X362" s="42"/>
      <c r="Y362" s="42"/>
      <c r="Z362" s="42"/>
    </row>
    <row r="363" spans="1:26" ht="15.75" customHeight="1" x14ac:dyDescent="0.25">
      <c r="A363" s="42"/>
      <c r="B363" s="144"/>
      <c r="C363" s="144"/>
      <c r="D363" s="144"/>
      <c r="E363" s="144"/>
      <c r="F363" s="109"/>
      <c r="G363" s="109"/>
      <c r="H363" s="109"/>
      <c r="I363" s="109"/>
      <c r="J363" s="109"/>
      <c r="K363" s="109"/>
      <c r="L363" s="109"/>
      <c r="M363" s="109"/>
      <c r="N363" s="166"/>
      <c r="O363" s="144"/>
      <c r="P363" s="42"/>
      <c r="Q363" s="42"/>
      <c r="R363" s="42"/>
      <c r="S363" s="42"/>
      <c r="T363" s="42"/>
      <c r="U363" s="42"/>
      <c r="V363" s="42"/>
      <c r="W363" s="42"/>
      <c r="X363" s="42"/>
      <c r="Y363" s="42"/>
      <c r="Z363" s="42"/>
    </row>
    <row r="364" spans="1:26" ht="15.75" customHeight="1" x14ac:dyDescent="0.25">
      <c r="A364" s="42"/>
      <c r="B364" s="144"/>
      <c r="C364" s="144"/>
      <c r="D364" s="144"/>
      <c r="E364" s="144"/>
      <c r="F364" s="109"/>
      <c r="G364" s="109"/>
      <c r="H364" s="109"/>
      <c r="I364" s="109"/>
      <c r="J364" s="109"/>
      <c r="K364" s="109"/>
      <c r="L364" s="109"/>
      <c r="M364" s="109"/>
      <c r="N364" s="166"/>
      <c r="O364" s="144"/>
      <c r="P364" s="42"/>
      <c r="Q364" s="42"/>
      <c r="R364" s="42"/>
      <c r="S364" s="42"/>
      <c r="T364" s="42"/>
      <c r="U364" s="42"/>
      <c r="V364" s="42"/>
      <c r="W364" s="42"/>
      <c r="X364" s="42"/>
      <c r="Y364" s="42"/>
      <c r="Z364" s="42"/>
    </row>
    <row r="365" spans="1:26" ht="15.75" customHeight="1" x14ac:dyDescent="0.25">
      <c r="A365" s="42"/>
      <c r="B365" s="144"/>
      <c r="C365" s="144"/>
      <c r="D365" s="144"/>
      <c r="E365" s="144"/>
      <c r="F365" s="109"/>
      <c r="G365" s="109"/>
      <c r="H365" s="109"/>
      <c r="I365" s="109"/>
      <c r="J365" s="109"/>
      <c r="K365" s="109"/>
      <c r="L365" s="109"/>
      <c r="M365" s="109"/>
      <c r="N365" s="166"/>
      <c r="O365" s="144"/>
      <c r="P365" s="42"/>
      <c r="Q365" s="42"/>
      <c r="R365" s="42"/>
      <c r="S365" s="42"/>
      <c r="T365" s="42"/>
      <c r="U365" s="42"/>
      <c r="V365" s="42"/>
      <c r="W365" s="42"/>
      <c r="X365" s="42"/>
      <c r="Y365" s="42"/>
      <c r="Z365" s="42"/>
    </row>
    <row r="366" spans="1:26" ht="15.75" customHeight="1" x14ac:dyDescent="0.25">
      <c r="A366" s="42"/>
      <c r="B366" s="144"/>
      <c r="C366" s="144"/>
      <c r="D366" s="144"/>
      <c r="E366" s="144"/>
      <c r="F366" s="109"/>
      <c r="G366" s="109"/>
      <c r="H366" s="109"/>
      <c r="I366" s="109"/>
      <c r="J366" s="109"/>
      <c r="K366" s="109"/>
      <c r="L366" s="109"/>
      <c r="M366" s="109"/>
      <c r="N366" s="166"/>
      <c r="O366" s="144"/>
      <c r="P366" s="42"/>
      <c r="Q366" s="42"/>
      <c r="R366" s="42"/>
      <c r="S366" s="42"/>
      <c r="T366" s="42"/>
      <c r="U366" s="42"/>
      <c r="V366" s="42"/>
      <c r="W366" s="42"/>
      <c r="X366" s="42"/>
      <c r="Y366" s="42"/>
      <c r="Z366" s="42"/>
    </row>
    <row r="367" spans="1:26" ht="15.75" customHeight="1" x14ac:dyDescent="0.25">
      <c r="A367" s="42"/>
      <c r="B367" s="144"/>
      <c r="C367" s="144"/>
      <c r="D367" s="144"/>
      <c r="E367" s="144"/>
      <c r="F367" s="109"/>
      <c r="G367" s="109"/>
      <c r="H367" s="109"/>
      <c r="I367" s="109"/>
      <c r="J367" s="109"/>
      <c r="K367" s="109"/>
      <c r="L367" s="109"/>
      <c r="M367" s="109"/>
      <c r="N367" s="166"/>
      <c r="O367" s="144"/>
      <c r="P367" s="42"/>
      <c r="Q367" s="42"/>
      <c r="R367" s="42"/>
      <c r="S367" s="42"/>
      <c r="T367" s="42"/>
      <c r="U367" s="42"/>
      <c r="V367" s="42"/>
      <c r="W367" s="42"/>
      <c r="X367" s="42"/>
      <c r="Y367" s="42"/>
      <c r="Z367" s="42"/>
    </row>
    <row r="368" spans="1:26" ht="15.75" customHeight="1" x14ac:dyDescent="0.25">
      <c r="A368" s="42"/>
      <c r="B368" s="144"/>
      <c r="C368" s="144"/>
      <c r="D368" s="144"/>
      <c r="E368" s="144"/>
      <c r="F368" s="109"/>
      <c r="G368" s="109"/>
      <c r="H368" s="109"/>
      <c r="I368" s="109"/>
      <c r="J368" s="109"/>
      <c r="K368" s="109"/>
      <c r="L368" s="109"/>
      <c r="M368" s="109"/>
      <c r="N368" s="166"/>
      <c r="O368" s="144"/>
      <c r="P368" s="42"/>
      <c r="Q368" s="42"/>
      <c r="R368" s="42"/>
      <c r="S368" s="42"/>
      <c r="T368" s="42"/>
      <c r="U368" s="42"/>
      <c r="V368" s="42"/>
      <c r="W368" s="42"/>
      <c r="X368" s="42"/>
      <c r="Y368" s="42"/>
      <c r="Z368" s="42"/>
    </row>
    <row r="369" spans="1:26" ht="15.75" customHeight="1" x14ac:dyDescent="0.25">
      <c r="A369" s="42"/>
      <c r="B369" s="144"/>
      <c r="C369" s="144"/>
      <c r="D369" s="144"/>
      <c r="E369" s="144"/>
      <c r="F369" s="109"/>
      <c r="G369" s="109"/>
      <c r="H369" s="109"/>
      <c r="I369" s="109"/>
      <c r="J369" s="109"/>
      <c r="K369" s="109"/>
      <c r="L369" s="109"/>
      <c r="M369" s="109"/>
      <c r="N369" s="166"/>
      <c r="O369" s="144"/>
      <c r="P369" s="42"/>
      <c r="Q369" s="42"/>
      <c r="R369" s="42"/>
      <c r="S369" s="42"/>
      <c r="T369" s="42"/>
      <c r="U369" s="42"/>
      <c r="V369" s="42"/>
      <c r="W369" s="42"/>
      <c r="X369" s="42"/>
      <c r="Y369" s="42"/>
      <c r="Z369" s="42"/>
    </row>
    <row r="370" spans="1:26" ht="15.75" customHeight="1" x14ac:dyDescent="0.25">
      <c r="A370" s="42"/>
      <c r="B370" s="144"/>
      <c r="C370" s="144"/>
      <c r="D370" s="144"/>
      <c r="E370" s="144"/>
      <c r="F370" s="109"/>
      <c r="G370" s="109"/>
      <c r="H370" s="109"/>
      <c r="I370" s="109"/>
      <c r="J370" s="109"/>
      <c r="K370" s="109"/>
      <c r="L370" s="109"/>
      <c r="M370" s="109"/>
      <c r="N370" s="166"/>
      <c r="O370" s="144"/>
      <c r="P370" s="42"/>
      <c r="Q370" s="42"/>
      <c r="R370" s="42"/>
      <c r="S370" s="42"/>
      <c r="T370" s="42"/>
      <c r="U370" s="42"/>
      <c r="V370" s="42"/>
      <c r="W370" s="42"/>
      <c r="X370" s="42"/>
      <c r="Y370" s="42"/>
      <c r="Z370" s="42"/>
    </row>
    <row r="371" spans="1:26" ht="15.75" customHeight="1" x14ac:dyDescent="0.25">
      <c r="A371" s="42"/>
      <c r="B371" s="144"/>
      <c r="C371" s="144"/>
      <c r="D371" s="144"/>
      <c r="E371" s="144"/>
      <c r="F371" s="109"/>
      <c r="G371" s="109"/>
      <c r="H371" s="109"/>
      <c r="I371" s="109"/>
      <c r="J371" s="109"/>
      <c r="K371" s="109"/>
      <c r="L371" s="109"/>
      <c r="M371" s="109"/>
      <c r="N371" s="166"/>
      <c r="O371" s="144"/>
      <c r="P371" s="42"/>
      <c r="Q371" s="42"/>
      <c r="R371" s="42"/>
      <c r="S371" s="42"/>
      <c r="T371" s="42"/>
      <c r="U371" s="42"/>
      <c r="V371" s="42"/>
      <c r="W371" s="42"/>
      <c r="X371" s="42"/>
      <c r="Y371" s="42"/>
      <c r="Z371" s="42"/>
    </row>
    <row r="372" spans="1:26" ht="15.75" customHeight="1" x14ac:dyDescent="0.25">
      <c r="A372" s="42"/>
      <c r="B372" s="144"/>
      <c r="C372" s="144"/>
      <c r="D372" s="144"/>
      <c r="E372" s="144"/>
      <c r="F372" s="109"/>
      <c r="G372" s="109"/>
      <c r="H372" s="109"/>
      <c r="I372" s="109"/>
      <c r="J372" s="109"/>
      <c r="K372" s="109"/>
      <c r="L372" s="109"/>
      <c r="M372" s="109"/>
      <c r="N372" s="166"/>
      <c r="O372" s="144"/>
      <c r="P372" s="42"/>
      <c r="Q372" s="42"/>
      <c r="R372" s="42"/>
      <c r="S372" s="42"/>
      <c r="T372" s="42"/>
      <c r="U372" s="42"/>
      <c r="V372" s="42"/>
      <c r="W372" s="42"/>
      <c r="X372" s="42"/>
      <c r="Y372" s="42"/>
      <c r="Z372" s="42"/>
    </row>
    <row r="373" spans="1:26" ht="15.75" customHeight="1" x14ac:dyDescent="0.25">
      <c r="A373" s="42"/>
      <c r="B373" s="144"/>
      <c r="C373" s="144"/>
      <c r="D373" s="144"/>
      <c r="E373" s="144"/>
      <c r="F373" s="109"/>
      <c r="G373" s="109"/>
      <c r="H373" s="109"/>
      <c r="I373" s="109"/>
      <c r="J373" s="109"/>
      <c r="K373" s="109"/>
      <c r="L373" s="109"/>
      <c r="M373" s="109"/>
      <c r="N373" s="166"/>
      <c r="O373" s="144"/>
      <c r="P373" s="42"/>
      <c r="Q373" s="42"/>
      <c r="R373" s="42"/>
      <c r="S373" s="42"/>
      <c r="T373" s="42"/>
      <c r="U373" s="42"/>
      <c r="V373" s="42"/>
      <c r="W373" s="42"/>
      <c r="X373" s="42"/>
      <c r="Y373" s="42"/>
      <c r="Z373" s="42"/>
    </row>
    <row r="374" spans="1:26" ht="15.75" customHeight="1" x14ac:dyDescent="0.25">
      <c r="A374" s="42"/>
      <c r="B374" s="144"/>
      <c r="C374" s="144"/>
      <c r="D374" s="144"/>
      <c r="E374" s="144"/>
      <c r="F374" s="109"/>
      <c r="G374" s="109"/>
      <c r="H374" s="109"/>
      <c r="I374" s="109"/>
      <c r="J374" s="109"/>
      <c r="K374" s="109"/>
      <c r="L374" s="109"/>
      <c r="M374" s="109"/>
      <c r="N374" s="166"/>
      <c r="O374" s="144"/>
      <c r="P374" s="42"/>
      <c r="Q374" s="42"/>
      <c r="R374" s="42"/>
      <c r="S374" s="42"/>
      <c r="T374" s="42"/>
      <c r="U374" s="42"/>
      <c r="V374" s="42"/>
      <c r="W374" s="42"/>
      <c r="X374" s="42"/>
      <c r="Y374" s="42"/>
      <c r="Z374" s="42"/>
    </row>
    <row r="375" spans="1:26" ht="15.75" customHeight="1" x14ac:dyDescent="0.25">
      <c r="A375" s="42"/>
      <c r="B375" s="144"/>
      <c r="C375" s="144"/>
      <c r="D375" s="144"/>
      <c r="E375" s="144"/>
      <c r="F375" s="109"/>
      <c r="G375" s="109"/>
      <c r="H375" s="109"/>
      <c r="I375" s="109"/>
      <c r="J375" s="109"/>
      <c r="K375" s="109"/>
      <c r="L375" s="109"/>
      <c r="M375" s="109"/>
      <c r="N375" s="166"/>
      <c r="O375" s="144"/>
      <c r="P375" s="42"/>
      <c r="Q375" s="42"/>
      <c r="R375" s="42"/>
      <c r="S375" s="42"/>
      <c r="T375" s="42"/>
      <c r="U375" s="42"/>
      <c r="V375" s="42"/>
      <c r="W375" s="42"/>
      <c r="X375" s="42"/>
      <c r="Y375" s="42"/>
      <c r="Z375" s="42"/>
    </row>
    <row r="376" spans="1:26" ht="15.75" customHeight="1" x14ac:dyDescent="0.25">
      <c r="A376" s="42"/>
      <c r="B376" s="144"/>
      <c r="C376" s="144"/>
      <c r="D376" s="144"/>
      <c r="E376" s="144"/>
      <c r="F376" s="109"/>
      <c r="G376" s="109"/>
      <c r="H376" s="109"/>
      <c r="I376" s="109"/>
      <c r="J376" s="109"/>
      <c r="K376" s="109"/>
      <c r="L376" s="109"/>
      <c r="M376" s="109"/>
      <c r="N376" s="166"/>
      <c r="O376" s="144"/>
      <c r="P376" s="42"/>
      <c r="Q376" s="42"/>
      <c r="R376" s="42"/>
      <c r="S376" s="42"/>
      <c r="T376" s="42"/>
      <c r="U376" s="42"/>
      <c r="V376" s="42"/>
      <c r="W376" s="42"/>
      <c r="X376" s="42"/>
      <c r="Y376" s="42"/>
      <c r="Z376" s="42"/>
    </row>
    <row r="377" spans="1:26" ht="15.75" customHeight="1" x14ac:dyDescent="0.25">
      <c r="A377" s="42"/>
      <c r="B377" s="144"/>
      <c r="C377" s="144"/>
      <c r="D377" s="144"/>
      <c r="E377" s="144"/>
      <c r="F377" s="109"/>
      <c r="G377" s="109"/>
      <c r="H377" s="109"/>
      <c r="I377" s="109"/>
      <c r="J377" s="109"/>
      <c r="K377" s="109"/>
      <c r="L377" s="109"/>
      <c r="M377" s="109"/>
      <c r="N377" s="166"/>
      <c r="O377" s="144"/>
      <c r="P377" s="42"/>
      <c r="Q377" s="42"/>
      <c r="R377" s="42"/>
      <c r="S377" s="42"/>
      <c r="T377" s="42"/>
      <c r="U377" s="42"/>
      <c r="V377" s="42"/>
      <c r="W377" s="42"/>
      <c r="X377" s="42"/>
      <c r="Y377" s="42"/>
      <c r="Z377" s="42"/>
    </row>
    <row r="378" spans="1:26" ht="15.75" customHeight="1" x14ac:dyDescent="0.25">
      <c r="A378" s="42"/>
      <c r="B378" s="144"/>
      <c r="C378" s="144"/>
      <c r="D378" s="144"/>
      <c r="E378" s="144"/>
      <c r="F378" s="109"/>
      <c r="G378" s="109"/>
      <c r="H378" s="109"/>
      <c r="I378" s="109"/>
      <c r="J378" s="109"/>
      <c r="K378" s="109"/>
      <c r="L378" s="109"/>
      <c r="M378" s="109"/>
      <c r="N378" s="166"/>
      <c r="O378" s="144"/>
      <c r="P378" s="42"/>
      <c r="Q378" s="42"/>
      <c r="R378" s="42"/>
      <c r="S378" s="42"/>
      <c r="T378" s="42"/>
      <c r="U378" s="42"/>
      <c r="V378" s="42"/>
      <c r="W378" s="42"/>
      <c r="X378" s="42"/>
      <c r="Y378" s="42"/>
      <c r="Z378" s="42"/>
    </row>
    <row r="379" spans="1:26" ht="15.75" customHeight="1" x14ac:dyDescent="0.25">
      <c r="A379" s="42"/>
      <c r="B379" s="144"/>
      <c r="C379" s="144"/>
      <c r="D379" s="144"/>
      <c r="E379" s="144"/>
      <c r="F379" s="109"/>
      <c r="G379" s="109"/>
      <c r="H379" s="109"/>
      <c r="I379" s="109"/>
      <c r="J379" s="109"/>
      <c r="K379" s="109"/>
      <c r="L379" s="109"/>
      <c r="M379" s="109"/>
      <c r="N379" s="166"/>
      <c r="O379" s="144"/>
      <c r="P379" s="42"/>
      <c r="Q379" s="42"/>
      <c r="R379" s="42"/>
      <c r="S379" s="42"/>
      <c r="T379" s="42"/>
      <c r="U379" s="42"/>
      <c r="V379" s="42"/>
      <c r="W379" s="42"/>
      <c r="X379" s="42"/>
      <c r="Y379" s="42"/>
      <c r="Z379" s="42"/>
    </row>
    <row r="380" spans="1:26" ht="15.75" customHeight="1" x14ac:dyDescent="0.25">
      <c r="A380" s="42"/>
      <c r="B380" s="144"/>
      <c r="C380" s="144"/>
      <c r="D380" s="144"/>
      <c r="E380" s="144"/>
      <c r="F380" s="109"/>
      <c r="G380" s="109"/>
      <c r="H380" s="109"/>
      <c r="I380" s="109"/>
      <c r="J380" s="109"/>
      <c r="K380" s="109"/>
      <c r="L380" s="109"/>
      <c r="M380" s="109"/>
      <c r="N380" s="166"/>
      <c r="O380" s="144"/>
      <c r="P380" s="42"/>
      <c r="Q380" s="42"/>
      <c r="R380" s="42"/>
      <c r="S380" s="42"/>
      <c r="T380" s="42"/>
      <c r="U380" s="42"/>
      <c r="V380" s="42"/>
      <c r="W380" s="42"/>
      <c r="X380" s="42"/>
      <c r="Y380" s="42"/>
      <c r="Z380" s="42"/>
    </row>
    <row r="381" spans="1:26" ht="15.75" customHeight="1" x14ac:dyDescent="0.25">
      <c r="A381" s="42"/>
      <c r="B381" s="144"/>
      <c r="C381" s="144"/>
      <c r="D381" s="144"/>
      <c r="E381" s="144"/>
      <c r="F381" s="109"/>
      <c r="G381" s="109"/>
      <c r="H381" s="109"/>
      <c r="I381" s="109"/>
      <c r="J381" s="109"/>
      <c r="K381" s="109"/>
      <c r="L381" s="109"/>
      <c r="M381" s="109"/>
      <c r="N381" s="166"/>
      <c r="O381" s="144"/>
      <c r="P381" s="42"/>
      <c r="Q381" s="42"/>
      <c r="R381" s="42"/>
      <c r="S381" s="42"/>
      <c r="T381" s="42"/>
      <c r="U381" s="42"/>
      <c r="V381" s="42"/>
      <c r="W381" s="42"/>
      <c r="X381" s="42"/>
      <c r="Y381" s="42"/>
      <c r="Z381" s="42"/>
    </row>
    <row r="382" spans="1:26" ht="15.75" customHeight="1" x14ac:dyDescent="0.25">
      <c r="A382" s="42"/>
      <c r="B382" s="144"/>
      <c r="C382" s="144"/>
      <c r="D382" s="144"/>
      <c r="E382" s="144"/>
      <c r="F382" s="109"/>
      <c r="G382" s="109"/>
      <c r="H382" s="109"/>
      <c r="I382" s="109"/>
      <c r="J382" s="109"/>
      <c r="K382" s="109"/>
      <c r="L382" s="109"/>
      <c r="M382" s="109"/>
      <c r="N382" s="166"/>
      <c r="O382" s="144"/>
      <c r="P382" s="42"/>
      <c r="Q382" s="42"/>
      <c r="R382" s="42"/>
      <c r="S382" s="42"/>
      <c r="T382" s="42"/>
      <c r="U382" s="42"/>
      <c r="V382" s="42"/>
      <c r="W382" s="42"/>
      <c r="X382" s="42"/>
      <c r="Y382" s="42"/>
      <c r="Z382" s="42"/>
    </row>
    <row r="383" spans="1:26" ht="15.75" customHeight="1" x14ac:dyDescent="0.25">
      <c r="A383" s="42"/>
      <c r="B383" s="144"/>
      <c r="C383" s="144"/>
      <c r="D383" s="144"/>
      <c r="E383" s="144"/>
      <c r="F383" s="109"/>
      <c r="G383" s="109"/>
      <c r="H383" s="109"/>
      <c r="I383" s="109"/>
      <c r="J383" s="109"/>
      <c r="K383" s="109"/>
      <c r="L383" s="109"/>
      <c r="M383" s="109"/>
      <c r="N383" s="166"/>
      <c r="O383" s="144"/>
      <c r="P383" s="42"/>
      <c r="Q383" s="42"/>
      <c r="R383" s="42"/>
      <c r="S383" s="42"/>
      <c r="T383" s="42"/>
      <c r="U383" s="42"/>
      <c r="V383" s="42"/>
      <c r="W383" s="42"/>
      <c r="X383" s="42"/>
      <c r="Y383" s="42"/>
      <c r="Z383" s="42"/>
    </row>
    <row r="384" spans="1:26" ht="15.75" customHeight="1" x14ac:dyDescent="0.25">
      <c r="A384" s="42"/>
      <c r="B384" s="144"/>
      <c r="C384" s="144"/>
      <c r="D384" s="144"/>
      <c r="E384" s="144"/>
      <c r="F384" s="109"/>
      <c r="G384" s="109"/>
      <c r="H384" s="109"/>
      <c r="I384" s="109"/>
      <c r="J384" s="109"/>
      <c r="K384" s="109"/>
      <c r="L384" s="109"/>
      <c r="M384" s="109"/>
      <c r="N384" s="166"/>
      <c r="O384" s="144"/>
      <c r="P384" s="42"/>
      <c r="Q384" s="42"/>
      <c r="R384" s="42"/>
      <c r="S384" s="42"/>
      <c r="T384" s="42"/>
      <c r="U384" s="42"/>
      <c r="V384" s="42"/>
      <c r="W384" s="42"/>
      <c r="X384" s="42"/>
      <c r="Y384" s="42"/>
      <c r="Z384" s="42"/>
    </row>
    <row r="385" spans="1:26" ht="15.75" customHeight="1" x14ac:dyDescent="0.25">
      <c r="A385" s="42"/>
      <c r="B385" s="144"/>
      <c r="C385" s="144"/>
      <c r="D385" s="144"/>
      <c r="E385" s="144"/>
      <c r="F385" s="109"/>
      <c r="G385" s="109"/>
      <c r="H385" s="109"/>
      <c r="I385" s="109"/>
      <c r="J385" s="109"/>
      <c r="K385" s="109"/>
      <c r="L385" s="109"/>
      <c r="M385" s="109"/>
      <c r="N385" s="166"/>
      <c r="O385" s="144"/>
      <c r="P385" s="42"/>
      <c r="Q385" s="42"/>
      <c r="R385" s="42"/>
      <c r="S385" s="42"/>
      <c r="T385" s="42"/>
      <c r="U385" s="42"/>
      <c r="V385" s="42"/>
      <c r="W385" s="42"/>
      <c r="X385" s="42"/>
      <c r="Y385" s="42"/>
      <c r="Z385" s="42"/>
    </row>
    <row r="386" spans="1:26" ht="15.75" customHeight="1" x14ac:dyDescent="0.25">
      <c r="A386" s="42"/>
      <c r="B386" s="144"/>
      <c r="C386" s="144"/>
      <c r="D386" s="144"/>
      <c r="E386" s="144"/>
      <c r="F386" s="109"/>
      <c r="G386" s="109"/>
      <c r="H386" s="109"/>
      <c r="I386" s="109"/>
      <c r="J386" s="109"/>
      <c r="K386" s="109"/>
      <c r="L386" s="109"/>
      <c r="M386" s="109"/>
      <c r="N386" s="166"/>
      <c r="O386" s="144"/>
      <c r="P386" s="42"/>
      <c r="Q386" s="42"/>
      <c r="R386" s="42"/>
      <c r="S386" s="42"/>
      <c r="T386" s="42"/>
      <c r="U386" s="42"/>
      <c r="V386" s="42"/>
      <c r="W386" s="42"/>
      <c r="X386" s="42"/>
      <c r="Y386" s="42"/>
      <c r="Z386" s="42"/>
    </row>
    <row r="387" spans="1:26" ht="15.75" customHeight="1" x14ac:dyDescent="0.25">
      <c r="A387" s="42"/>
      <c r="B387" s="144"/>
      <c r="C387" s="144"/>
      <c r="D387" s="144"/>
      <c r="E387" s="144"/>
      <c r="F387" s="109"/>
      <c r="G387" s="109"/>
      <c r="H387" s="109"/>
      <c r="I387" s="109"/>
      <c r="J387" s="109"/>
      <c r="K387" s="109"/>
      <c r="L387" s="109"/>
      <c r="M387" s="109"/>
      <c r="N387" s="166"/>
      <c r="O387" s="144"/>
      <c r="P387" s="42"/>
      <c r="Q387" s="42"/>
      <c r="R387" s="42"/>
      <c r="S387" s="42"/>
      <c r="T387" s="42"/>
      <c r="U387" s="42"/>
      <c r="V387" s="42"/>
      <c r="W387" s="42"/>
      <c r="X387" s="42"/>
      <c r="Y387" s="42"/>
      <c r="Z387" s="42"/>
    </row>
    <row r="388" spans="1:26" ht="15.75" customHeight="1" x14ac:dyDescent="0.25">
      <c r="A388" s="42"/>
      <c r="B388" s="144"/>
      <c r="C388" s="144"/>
      <c r="D388" s="144"/>
      <c r="E388" s="144"/>
      <c r="F388" s="109"/>
      <c r="G388" s="109"/>
      <c r="H388" s="109"/>
      <c r="I388" s="109"/>
      <c r="J388" s="109"/>
      <c r="K388" s="109"/>
      <c r="L388" s="109"/>
      <c r="M388" s="109"/>
      <c r="N388" s="166"/>
      <c r="O388" s="144"/>
      <c r="P388" s="42"/>
      <c r="Q388" s="42"/>
      <c r="R388" s="42"/>
      <c r="S388" s="42"/>
      <c r="T388" s="42"/>
      <c r="U388" s="42"/>
      <c r="V388" s="42"/>
      <c r="W388" s="42"/>
      <c r="X388" s="42"/>
      <c r="Y388" s="42"/>
      <c r="Z388" s="42"/>
    </row>
    <row r="389" spans="1:26" ht="15.75" customHeight="1" x14ac:dyDescent="0.25">
      <c r="A389" s="42"/>
      <c r="B389" s="144"/>
      <c r="C389" s="144"/>
      <c r="D389" s="144"/>
      <c r="E389" s="144"/>
      <c r="F389" s="109"/>
      <c r="G389" s="109"/>
      <c r="H389" s="109"/>
      <c r="I389" s="109"/>
      <c r="J389" s="109"/>
      <c r="K389" s="109"/>
      <c r="L389" s="109"/>
      <c r="M389" s="109"/>
      <c r="N389" s="166"/>
      <c r="O389" s="144"/>
      <c r="P389" s="42"/>
      <c r="Q389" s="42"/>
      <c r="R389" s="42"/>
      <c r="S389" s="42"/>
      <c r="T389" s="42"/>
      <c r="U389" s="42"/>
      <c r="V389" s="42"/>
      <c r="W389" s="42"/>
      <c r="X389" s="42"/>
      <c r="Y389" s="42"/>
      <c r="Z389" s="42"/>
    </row>
    <row r="390" spans="1:26" ht="15.75" customHeight="1" x14ac:dyDescent="0.25">
      <c r="A390" s="42"/>
      <c r="B390" s="144"/>
      <c r="C390" s="144"/>
      <c r="D390" s="144"/>
      <c r="E390" s="144"/>
      <c r="F390" s="109"/>
      <c r="G390" s="109"/>
      <c r="H390" s="109"/>
      <c r="I390" s="109"/>
      <c r="J390" s="109"/>
      <c r="K390" s="109"/>
      <c r="L390" s="109"/>
      <c r="M390" s="109"/>
      <c r="N390" s="166"/>
      <c r="O390" s="144"/>
      <c r="P390" s="42"/>
      <c r="Q390" s="42"/>
      <c r="R390" s="42"/>
      <c r="S390" s="42"/>
      <c r="T390" s="42"/>
      <c r="U390" s="42"/>
      <c r="V390" s="42"/>
      <c r="W390" s="42"/>
      <c r="X390" s="42"/>
      <c r="Y390" s="42"/>
      <c r="Z390" s="42"/>
    </row>
    <row r="391" spans="1:26" ht="15.75" customHeight="1" x14ac:dyDescent="0.25">
      <c r="A391" s="42"/>
      <c r="B391" s="144"/>
      <c r="C391" s="144"/>
      <c r="D391" s="144"/>
      <c r="E391" s="144"/>
      <c r="F391" s="109"/>
      <c r="G391" s="109"/>
      <c r="H391" s="109"/>
      <c r="I391" s="109"/>
      <c r="J391" s="109"/>
      <c r="K391" s="109"/>
      <c r="L391" s="109"/>
      <c r="M391" s="109"/>
      <c r="N391" s="166"/>
      <c r="O391" s="144"/>
      <c r="P391" s="42"/>
      <c r="Q391" s="42"/>
      <c r="R391" s="42"/>
      <c r="S391" s="42"/>
      <c r="T391" s="42"/>
      <c r="U391" s="42"/>
      <c r="V391" s="42"/>
      <c r="W391" s="42"/>
      <c r="X391" s="42"/>
      <c r="Y391" s="42"/>
      <c r="Z391" s="42"/>
    </row>
    <row r="392" spans="1:26" ht="15.75" customHeight="1" x14ac:dyDescent="0.25">
      <c r="A392" s="42"/>
      <c r="B392" s="144"/>
      <c r="C392" s="144"/>
      <c r="D392" s="144"/>
      <c r="E392" s="144"/>
      <c r="F392" s="109"/>
      <c r="G392" s="109"/>
      <c r="H392" s="109"/>
      <c r="I392" s="109"/>
      <c r="J392" s="109"/>
      <c r="K392" s="109"/>
      <c r="L392" s="109"/>
      <c r="M392" s="109"/>
      <c r="N392" s="166"/>
      <c r="O392" s="144"/>
      <c r="P392" s="42"/>
      <c r="Q392" s="42"/>
      <c r="R392" s="42"/>
      <c r="S392" s="42"/>
      <c r="T392" s="42"/>
      <c r="U392" s="42"/>
      <c r="V392" s="42"/>
      <c r="W392" s="42"/>
      <c r="X392" s="42"/>
      <c r="Y392" s="42"/>
      <c r="Z392" s="42"/>
    </row>
    <row r="393" spans="1:26" ht="15.75" customHeight="1" x14ac:dyDescent="0.25">
      <c r="A393" s="42"/>
      <c r="B393" s="144"/>
      <c r="C393" s="144"/>
      <c r="D393" s="144"/>
      <c r="E393" s="144"/>
      <c r="F393" s="109"/>
      <c r="G393" s="109"/>
      <c r="H393" s="109"/>
      <c r="I393" s="109"/>
      <c r="J393" s="109"/>
      <c r="K393" s="109"/>
      <c r="L393" s="109"/>
      <c r="M393" s="109"/>
      <c r="N393" s="166"/>
      <c r="O393" s="144"/>
      <c r="P393" s="42"/>
      <c r="Q393" s="42"/>
      <c r="R393" s="42"/>
      <c r="S393" s="42"/>
      <c r="T393" s="42"/>
      <c r="U393" s="42"/>
      <c r="V393" s="42"/>
      <c r="W393" s="42"/>
      <c r="X393" s="42"/>
      <c r="Y393" s="42"/>
      <c r="Z393" s="42"/>
    </row>
    <row r="394" spans="1:26" ht="15.75" customHeight="1" x14ac:dyDescent="0.25">
      <c r="A394" s="42"/>
      <c r="B394" s="144"/>
      <c r="C394" s="144"/>
      <c r="D394" s="144"/>
      <c r="E394" s="144"/>
      <c r="F394" s="109"/>
      <c r="G394" s="109"/>
      <c r="H394" s="109"/>
      <c r="I394" s="109"/>
      <c r="J394" s="109"/>
      <c r="K394" s="109"/>
      <c r="L394" s="109"/>
      <c r="M394" s="109"/>
      <c r="N394" s="166"/>
      <c r="O394" s="144"/>
      <c r="P394" s="42"/>
      <c r="Q394" s="42"/>
      <c r="R394" s="42"/>
      <c r="S394" s="42"/>
      <c r="T394" s="42"/>
      <c r="U394" s="42"/>
      <c r="V394" s="42"/>
      <c r="W394" s="42"/>
      <c r="X394" s="42"/>
      <c r="Y394" s="42"/>
      <c r="Z394" s="42"/>
    </row>
    <row r="395" spans="1:26" ht="15.75" customHeight="1" x14ac:dyDescent="0.25">
      <c r="A395" s="42"/>
      <c r="B395" s="144"/>
      <c r="C395" s="144"/>
      <c r="D395" s="144"/>
      <c r="E395" s="144"/>
      <c r="F395" s="109"/>
      <c r="G395" s="109"/>
      <c r="H395" s="109"/>
      <c r="I395" s="109"/>
      <c r="J395" s="109"/>
      <c r="K395" s="109"/>
      <c r="L395" s="109"/>
      <c r="M395" s="109"/>
      <c r="N395" s="166"/>
      <c r="O395" s="144"/>
      <c r="P395" s="42"/>
      <c r="Q395" s="42"/>
      <c r="R395" s="42"/>
      <c r="S395" s="42"/>
      <c r="T395" s="42"/>
      <c r="U395" s="42"/>
      <c r="V395" s="42"/>
      <c r="W395" s="42"/>
      <c r="X395" s="42"/>
      <c r="Y395" s="42"/>
      <c r="Z395" s="42"/>
    </row>
    <row r="396" spans="1:26" ht="15.75" customHeight="1" x14ac:dyDescent="0.25">
      <c r="A396" s="42"/>
      <c r="B396" s="144"/>
      <c r="C396" s="144"/>
      <c r="D396" s="144"/>
      <c r="E396" s="144"/>
      <c r="F396" s="109"/>
      <c r="G396" s="109"/>
      <c r="H396" s="109"/>
      <c r="I396" s="109"/>
      <c r="J396" s="109"/>
      <c r="K396" s="109"/>
      <c r="L396" s="109"/>
      <c r="M396" s="109"/>
      <c r="N396" s="166"/>
      <c r="O396" s="144"/>
      <c r="P396" s="42"/>
      <c r="Q396" s="42"/>
      <c r="R396" s="42"/>
      <c r="S396" s="42"/>
      <c r="T396" s="42"/>
      <c r="U396" s="42"/>
      <c r="V396" s="42"/>
      <c r="W396" s="42"/>
      <c r="X396" s="42"/>
      <c r="Y396" s="42"/>
      <c r="Z396" s="42"/>
    </row>
    <row r="397" spans="1:26" ht="15.75" customHeight="1" x14ac:dyDescent="0.25">
      <c r="A397" s="42"/>
      <c r="B397" s="144"/>
      <c r="C397" s="144"/>
      <c r="D397" s="144"/>
      <c r="E397" s="144"/>
      <c r="F397" s="109"/>
      <c r="G397" s="109"/>
      <c r="H397" s="109"/>
      <c r="I397" s="109"/>
      <c r="J397" s="109"/>
      <c r="K397" s="109"/>
      <c r="L397" s="109"/>
      <c r="M397" s="109"/>
      <c r="N397" s="166"/>
      <c r="O397" s="144"/>
      <c r="P397" s="42"/>
      <c r="Q397" s="42"/>
      <c r="R397" s="42"/>
      <c r="S397" s="42"/>
      <c r="T397" s="42"/>
      <c r="U397" s="42"/>
      <c r="V397" s="42"/>
      <c r="W397" s="42"/>
      <c r="X397" s="42"/>
      <c r="Y397" s="42"/>
      <c r="Z397" s="42"/>
    </row>
    <row r="398" spans="1:26" ht="15.75" customHeight="1" x14ac:dyDescent="0.25">
      <c r="A398" s="42"/>
      <c r="B398" s="144"/>
      <c r="C398" s="144"/>
      <c r="D398" s="144"/>
      <c r="E398" s="144"/>
      <c r="F398" s="109"/>
      <c r="G398" s="109"/>
      <c r="H398" s="109"/>
      <c r="I398" s="109"/>
      <c r="J398" s="109"/>
      <c r="K398" s="109"/>
      <c r="L398" s="109"/>
      <c r="M398" s="109"/>
      <c r="N398" s="166"/>
      <c r="O398" s="144"/>
      <c r="P398" s="42"/>
      <c r="Q398" s="42"/>
      <c r="R398" s="42"/>
      <c r="S398" s="42"/>
      <c r="T398" s="42"/>
      <c r="U398" s="42"/>
      <c r="V398" s="42"/>
      <c r="W398" s="42"/>
      <c r="X398" s="42"/>
      <c r="Y398" s="42"/>
      <c r="Z398" s="42"/>
    </row>
    <row r="399" spans="1:26" ht="15.75" customHeight="1" x14ac:dyDescent="0.25">
      <c r="A399" s="42"/>
      <c r="B399" s="144"/>
      <c r="C399" s="144"/>
      <c r="D399" s="144"/>
      <c r="E399" s="144"/>
      <c r="F399" s="109"/>
      <c r="G399" s="109"/>
      <c r="H399" s="109"/>
      <c r="I399" s="109"/>
      <c r="J399" s="109"/>
      <c r="K399" s="109"/>
      <c r="L399" s="109"/>
      <c r="M399" s="109"/>
      <c r="N399" s="166"/>
      <c r="O399" s="144"/>
      <c r="P399" s="42"/>
      <c r="Q399" s="42"/>
      <c r="R399" s="42"/>
      <c r="S399" s="42"/>
      <c r="T399" s="42"/>
      <c r="U399" s="42"/>
      <c r="V399" s="42"/>
      <c r="W399" s="42"/>
      <c r="X399" s="42"/>
      <c r="Y399" s="42"/>
      <c r="Z399" s="42"/>
    </row>
    <row r="400" spans="1:26" ht="15.75" customHeight="1" x14ac:dyDescent="0.25">
      <c r="A400" s="42"/>
      <c r="B400" s="144"/>
      <c r="C400" s="144"/>
      <c r="D400" s="144"/>
      <c r="E400" s="144"/>
      <c r="F400" s="109"/>
      <c r="G400" s="109"/>
      <c r="H400" s="109"/>
      <c r="I400" s="109"/>
      <c r="J400" s="109"/>
      <c r="K400" s="109"/>
      <c r="L400" s="109"/>
      <c r="M400" s="109"/>
      <c r="N400" s="166"/>
      <c r="O400" s="144"/>
      <c r="P400" s="42"/>
      <c r="Q400" s="42"/>
      <c r="R400" s="42"/>
      <c r="S400" s="42"/>
      <c r="T400" s="42"/>
      <c r="U400" s="42"/>
      <c r="V400" s="42"/>
      <c r="W400" s="42"/>
      <c r="X400" s="42"/>
      <c r="Y400" s="42"/>
      <c r="Z400" s="42"/>
    </row>
    <row r="401" spans="1:26" ht="15.75" customHeight="1" x14ac:dyDescent="0.25">
      <c r="A401" s="42"/>
      <c r="B401" s="144"/>
      <c r="C401" s="144"/>
      <c r="D401" s="144"/>
      <c r="E401" s="144"/>
      <c r="F401" s="109"/>
      <c r="G401" s="109"/>
      <c r="H401" s="109"/>
      <c r="I401" s="109"/>
      <c r="J401" s="109"/>
      <c r="K401" s="109"/>
      <c r="L401" s="109"/>
      <c r="M401" s="109"/>
      <c r="N401" s="166"/>
      <c r="O401" s="144"/>
      <c r="P401" s="42"/>
      <c r="Q401" s="42"/>
      <c r="R401" s="42"/>
      <c r="S401" s="42"/>
      <c r="T401" s="42"/>
      <c r="U401" s="42"/>
      <c r="V401" s="42"/>
      <c r="W401" s="42"/>
      <c r="X401" s="42"/>
      <c r="Y401" s="42"/>
      <c r="Z401" s="42"/>
    </row>
    <row r="402" spans="1:26" ht="15.75" customHeight="1" x14ac:dyDescent="0.25">
      <c r="A402" s="42"/>
      <c r="B402" s="144"/>
      <c r="C402" s="144"/>
      <c r="D402" s="144"/>
      <c r="E402" s="144"/>
      <c r="F402" s="109"/>
      <c r="G402" s="109"/>
      <c r="H402" s="109"/>
      <c r="I402" s="109"/>
      <c r="J402" s="109"/>
      <c r="K402" s="109"/>
      <c r="L402" s="109"/>
      <c r="M402" s="109"/>
      <c r="N402" s="166"/>
      <c r="O402" s="144"/>
      <c r="P402" s="42"/>
      <c r="Q402" s="42"/>
      <c r="R402" s="42"/>
      <c r="S402" s="42"/>
      <c r="T402" s="42"/>
      <c r="U402" s="42"/>
      <c r="V402" s="42"/>
      <c r="W402" s="42"/>
      <c r="X402" s="42"/>
      <c r="Y402" s="42"/>
      <c r="Z402" s="42"/>
    </row>
    <row r="403" spans="1:26" ht="15.75" customHeight="1" x14ac:dyDescent="0.25">
      <c r="A403" s="42"/>
      <c r="B403" s="144"/>
      <c r="C403" s="144"/>
      <c r="D403" s="144"/>
      <c r="E403" s="144"/>
      <c r="F403" s="109"/>
      <c r="G403" s="109"/>
      <c r="H403" s="109"/>
      <c r="I403" s="109"/>
      <c r="J403" s="109"/>
      <c r="K403" s="109"/>
      <c r="L403" s="109"/>
      <c r="M403" s="109"/>
      <c r="N403" s="166"/>
      <c r="O403" s="144"/>
      <c r="P403" s="42"/>
      <c r="Q403" s="42"/>
      <c r="R403" s="42"/>
      <c r="S403" s="42"/>
      <c r="T403" s="42"/>
      <c r="U403" s="42"/>
      <c r="V403" s="42"/>
      <c r="W403" s="42"/>
      <c r="X403" s="42"/>
      <c r="Y403" s="42"/>
      <c r="Z403" s="42"/>
    </row>
    <row r="404" spans="1:26" ht="15.75" customHeight="1" x14ac:dyDescent="0.25">
      <c r="A404" s="42"/>
      <c r="B404" s="144"/>
      <c r="C404" s="144"/>
      <c r="D404" s="144"/>
      <c r="E404" s="144"/>
      <c r="F404" s="109"/>
      <c r="G404" s="109"/>
      <c r="H404" s="109"/>
      <c r="I404" s="109"/>
      <c r="J404" s="109"/>
      <c r="K404" s="109"/>
      <c r="L404" s="109"/>
      <c r="M404" s="109"/>
      <c r="N404" s="166"/>
      <c r="O404" s="144"/>
      <c r="P404" s="42"/>
      <c r="Q404" s="42"/>
      <c r="R404" s="42"/>
      <c r="S404" s="42"/>
      <c r="T404" s="42"/>
      <c r="U404" s="42"/>
      <c r="V404" s="42"/>
      <c r="W404" s="42"/>
      <c r="X404" s="42"/>
      <c r="Y404" s="42"/>
      <c r="Z404" s="42"/>
    </row>
    <row r="405" spans="1:26" ht="15.75" customHeight="1" x14ac:dyDescent="0.25">
      <c r="A405" s="42"/>
      <c r="B405" s="144"/>
      <c r="C405" s="144"/>
      <c r="D405" s="144"/>
      <c r="E405" s="144"/>
      <c r="F405" s="109"/>
      <c r="G405" s="109"/>
      <c r="H405" s="109"/>
      <c r="I405" s="109"/>
      <c r="J405" s="109"/>
      <c r="K405" s="109"/>
      <c r="L405" s="109"/>
      <c r="M405" s="109"/>
      <c r="N405" s="166"/>
      <c r="O405" s="144"/>
      <c r="P405" s="42"/>
      <c r="Q405" s="42"/>
      <c r="R405" s="42"/>
      <c r="S405" s="42"/>
      <c r="T405" s="42"/>
      <c r="U405" s="42"/>
      <c r="V405" s="42"/>
      <c r="W405" s="42"/>
      <c r="X405" s="42"/>
      <c r="Y405" s="42"/>
      <c r="Z405" s="42"/>
    </row>
    <row r="406" spans="1:26" ht="15.75" customHeight="1" x14ac:dyDescent="0.25">
      <c r="A406" s="42"/>
      <c r="B406" s="144"/>
      <c r="C406" s="144"/>
      <c r="D406" s="144"/>
      <c r="E406" s="144"/>
      <c r="F406" s="109"/>
      <c r="G406" s="109"/>
      <c r="H406" s="109"/>
      <c r="I406" s="109"/>
      <c r="J406" s="109"/>
      <c r="K406" s="109"/>
      <c r="L406" s="109"/>
      <c r="M406" s="109"/>
      <c r="N406" s="166"/>
      <c r="O406" s="144"/>
      <c r="P406" s="42"/>
      <c r="Q406" s="42"/>
      <c r="R406" s="42"/>
      <c r="S406" s="42"/>
      <c r="T406" s="42"/>
      <c r="U406" s="42"/>
      <c r="V406" s="42"/>
      <c r="W406" s="42"/>
      <c r="X406" s="42"/>
      <c r="Y406" s="42"/>
      <c r="Z406" s="42"/>
    </row>
    <row r="407" spans="1:26" ht="15.75" customHeight="1" x14ac:dyDescent="0.25">
      <c r="A407" s="42"/>
      <c r="B407" s="144"/>
      <c r="C407" s="144"/>
      <c r="D407" s="144"/>
      <c r="E407" s="144"/>
      <c r="F407" s="109"/>
      <c r="G407" s="109"/>
      <c r="H407" s="109"/>
      <c r="I407" s="109"/>
      <c r="J407" s="109"/>
      <c r="K407" s="109"/>
      <c r="L407" s="109"/>
      <c r="M407" s="109"/>
      <c r="N407" s="166"/>
      <c r="O407" s="144"/>
      <c r="P407" s="42"/>
      <c r="Q407" s="42"/>
      <c r="R407" s="42"/>
      <c r="S407" s="42"/>
      <c r="T407" s="42"/>
      <c r="U407" s="42"/>
      <c r="V407" s="42"/>
      <c r="W407" s="42"/>
      <c r="X407" s="42"/>
      <c r="Y407" s="42"/>
      <c r="Z407" s="42"/>
    </row>
    <row r="408" spans="1:26" ht="15.75" customHeight="1" x14ac:dyDescent="0.25">
      <c r="A408" s="42"/>
      <c r="B408" s="144"/>
      <c r="C408" s="144"/>
      <c r="D408" s="144"/>
      <c r="E408" s="144"/>
      <c r="F408" s="109"/>
      <c r="G408" s="109"/>
      <c r="H408" s="109"/>
      <c r="I408" s="109"/>
      <c r="J408" s="109"/>
      <c r="K408" s="109"/>
      <c r="L408" s="109"/>
      <c r="M408" s="109"/>
      <c r="N408" s="166"/>
      <c r="O408" s="144"/>
      <c r="P408" s="42"/>
      <c r="Q408" s="42"/>
      <c r="R408" s="42"/>
      <c r="S408" s="42"/>
      <c r="T408" s="42"/>
      <c r="U408" s="42"/>
      <c r="V408" s="42"/>
      <c r="W408" s="42"/>
      <c r="X408" s="42"/>
      <c r="Y408" s="42"/>
      <c r="Z408" s="42"/>
    </row>
    <row r="409" spans="1:26" ht="15.75" customHeight="1" x14ac:dyDescent="0.25">
      <c r="A409" s="42"/>
      <c r="B409" s="144"/>
      <c r="C409" s="144"/>
      <c r="D409" s="144"/>
      <c r="E409" s="144"/>
      <c r="F409" s="109"/>
      <c r="G409" s="109"/>
      <c r="H409" s="109"/>
      <c r="I409" s="109"/>
      <c r="J409" s="109"/>
      <c r="K409" s="109"/>
      <c r="L409" s="109"/>
      <c r="M409" s="109"/>
      <c r="N409" s="166"/>
      <c r="O409" s="144"/>
      <c r="P409" s="42"/>
      <c r="Q409" s="42"/>
      <c r="R409" s="42"/>
      <c r="S409" s="42"/>
      <c r="T409" s="42"/>
      <c r="U409" s="42"/>
      <c r="V409" s="42"/>
      <c r="W409" s="42"/>
      <c r="X409" s="42"/>
      <c r="Y409" s="42"/>
      <c r="Z409" s="42"/>
    </row>
    <row r="410" spans="1:26" ht="15.75" customHeight="1" x14ac:dyDescent="0.25">
      <c r="A410" s="42"/>
      <c r="B410" s="144"/>
      <c r="C410" s="144"/>
      <c r="D410" s="144"/>
      <c r="E410" s="144"/>
      <c r="F410" s="109"/>
      <c r="G410" s="109"/>
      <c r="H410" s="109"/>
      <c r="I410" s="109"/>
      <c r="J410" s="109"/>
      <c r="K410" s="109"/>
      <c r="L410" s="109"/>
      <c r="M410" s="109"/>
      <c r="N410" s="166"/>
      <c r="O410" s="144"/>
      <c r="P410" s="42"/>
      <c r="Q410" s="42"/>
      <c r="R410" s="42"/>
      <c r="S410" s="42"/>
      <c r="T410" s="42"/>
      <c r="U410" s="42"/>
      <c r="V410" s="42"/>
      <c r="W410" s="42"/>
      <c r="X410" s="42"/>
      <c r="Y410" s="42"/>
      <c r="Z410" s="42"/>
    </row>
    <row r="411" spans="1:26" ht="15.75" customHeight="1" x14ac:dyDescent="0.25">
      <c r="A411" s="42"/>
      <c r="B411" s="144"/>
      <c r="C411" s="144"/>
      <c r="D411" s="144"/>
      <c r="E411" s="144"/>
      <c r="F411" s="109"/>
      <c r="G411" s="109"/>
      <c r="H411" s="109"/>
      <c r="I411" s="109"/>
      <c r="J411" s="109"/>
      <c r="K411" s="109"/>
      <c r="L411" s="109"/>
      <c r="M411" s="109"/>
      <c r="N411" s="166"/>
      <c r="O411" s="144"/>
      <c r="P411" s="42"/>
      <c r="Q411" s="42"/>
      <c r="R411" s="42"/>
      <c r="S411" s="42"/>
      <c r="T411" s="42"/>
      <c r="U411" s="42"/>
      <c r="V411" s="42"/>
      <c r="W411" s="42"/>
      <c r="X411" s="42"/>
      <c r="Y411" s="42"/>
      <c r="Z411" s="42"/>
    </row>
    <row r="412" spans="1:26" ht="15.75" customHeight="1" x14ac:dyDescent="0.25">
      <c r="A412" s="42"/>
      <c r="B412" s="144"/>
      <c r="C412" s="144"/>
      <c r="D412" s="144"/>
      <c r="E412" s="144"/>
      <c r="F412" s="109"/>
      <c r="G412" s="109"/>
      <c r="H412" s="109"/>
      <c r="I412" s="109"/>
      <c r="J412" s="109"/>
      <c r="K412" s="109"/>
      <c r="L412" s="109"/>
      <c r="M412" s="109"/>
      <c r="N412" s="166"/>
      <c r="O412" s="144"/>
      <c r="P412" s="42"/>
      <c r="Q412" s="42"/>
      <c r="R412" s="42"/>
      <c r="S412" s="42"/>
      <c r="T412" s="42"/>
      <c r="U412" s="42"/>
      <c r="V412" s="42"/>
      <c r="W412" s="42"/>
      <c r="X412" s="42"/>
      <c r="Y412" s="42"/>
      <c r="Z412" s="42"/>
    </row>
    <row r="413" spans="1:26" ht="15.75" customHeight="1" x14ac:dyDescent="0.25">
      <c r="A413" s="42"/>
      <c r="B413" s="144"/>
      <c r="C413" s="144"/>
      <c r="D413" s="144"/>
      <c r="E413" s="144"/>
      <c r="F413" s="109"/>
      <c r="G413" s="109"/>
      <c r="H413" s="109"/>
      <c r="I413" s="109"/>
      <c r="J413" s="109"/>
      <c r="K413" s="109"/>
      <c r="L413" s="109"/>
      <c r="M413" s="109"/>
      <c r="N413" s="166"/>
      <c r="O413" s="144"/>
      <c r="P413" s="42"/>
      <c r="Q413" s="42"/>
      <c r="R413" s="42"/>
      <c r="S413" s="42"/>
      <c r="T413" s="42"/>
      <c r="U413" s="42"/>
      <c r="V413" s="42"/>
      <c r="W413" s="42"/>
      <c r="X413" s="42"/>
      <c r="Y413" s="42"/>
      <c r="Z413" s="42"/>
    </row>
    <row r="414" spans="1:26" ht="15.75" customHeight="1" x14ac:dyDescent="0.25">
      <c r="A414" s="42"/>
      <c r="B414" s="144"/>
      <c r="C414" s="144"/>
      <c r="D414" s="144"/>
      <c r="E414" s="144"/>
      <c r="F414" s="109"/>
      <c r="G414" s="109"/>
      <c r="H414" s="109"/>
      <c r="I414" s="109"/>
      <c r="J414" s="109"/>
      <c r="K414" s="109"/>
      <c r="L414" s="109"/>
      <c r="M414" s="109"/>
      <c r="N414" s="166"/>
      <c r="O414" s="144"/>
      <c r="P414" s="42"/>
      <c r="Q414" s="42"/>
      <c r="R414" s="42"/>
      <c r="S414" s="42"/>
      <c r="T414" s="42"/>
      <c r="U414" s="42"/>
      <c r="V414" s="42"/>
      <c r="W414" s="42"/>
      <c r="X414" s="42"/>
      <c r="Y414" s="42"/>
      <c r="Z414" s="42"/>
    </row>
    <row r="415" spans="1:26" ht="15.75" customHeight="1" x14ac:dyDescent="0.25">
      <c r="A415" s="42"/>
      <c r="B415" s="144"/>
      <c r="C415" s="144"/>
      <c r="D415" s="144"/>
      <c r="E415" s="144"/>
      <c r="F415" s="109"/>
      <c r="G415" s="109"/>
      <c r="H415" s="109"/>
      <c r="I415" s="109"/>
      <c r="J415" s="109"/>
      <c r="K415" s="109"/>
      <c r="L415" s="109"/>
      <c r="M415" s="109"/>
      <c r="N415" s="166"/>
      <c r="O415" s="144"/>
      <c r="P415" s="42"/>
      <c r="Q415" s="42"/>
      <c r="R415" s="42"/>
      <c r="S415" s="42"/>
      <c r="T415" s="42"/>
      <c r="U415" s="42"/>
      <c r="V415" s="42"/>
      <c r="W415" s="42"/>
      <c r="X415" s="42"/>
      <c r="Y415" s="42"/>
      <c r="Z415" s="42"/>
    </row>
    <row r="416" spans="1:26" ht="15.75" customHeight="1" x14ac:dyDescent="0.25">
      <c r="A416" s="42"/>
      <c r="B416" s="144"/>
      <c r="C416" s="144"/>
      <c r="D416" s="144"/>
      <c r="E416" s="144"/>
      <c r="F416" s="109"/>
      <c r="G416" s="109"/>
      <c r="H416" s="109"/>
      <c r="I416" s="109"/>
      <c r="J416" s="109"/>
      <c r="K416" s="109"/>
      <c r="L416" s="109"/>
      <c r="M416" s="109"/>
      <c r="N416" s="166"/>
      <c r="O416" s="144"/>
      <c r="P416" s="42"/>
      <c r="Q416" s="42"/>
      <c r="R416" s="42"/>
      <c r="S416" s="42"/>
      <c r="T416" s="42"/>
      <c r="U416" s="42"/>
      <c r="V416" s="42"/>
      <c r="W416" s="42"/>
      <c r="X416" s="42"/>
      <c r="Y416" s="42"/>
      <c r="Z416" s="42"/>
    </row>
    <row r="417" spans="1:26" ht="15.75" customHeight="1" x14ac:dyDescent="0.25">
      <c r="A417" s="42"/>
      <c r="B417" s="144"/>
      <c r="C417" s="144"/>
      <c r="D417" s="144"/>
      <c r="E417" s="144"/>
      <c r="F417" s="109"/>
      <c r="G417" s="109"/>
      <c r="H417" s="109"/>
      <c r="I417" s="109"/>
      <c r="J417" s="109"/>
      <c r="K417" s="109"/>
      <c r="L417" s="109"/>
      <c r="M417" s="109"/>
      <c r="N417" s="166"/>
      <c r="O417" s="144"/>
      <c r="P417" s="42"/>
      <c r="Q417" s="42"/>
      <c r="R417" s="42"/>
      <c r="S417" s="42"/>
      <c r="T417" s="42"/>
      <c r="U417" s="42"/>
      <c r="V417" s="42"/>
      <c r="W417" s="42"/>
      <c r="X417" s="42"/>
      <c r="Y417" s="42"/>
      <c r="Z417" s="42"/>
    </row>
    <row r="418" spans="1:26" ht="15.75" customHeight="1" x14ac:dyDescent="0.25">
      <c r="A418" s="42"/>
      <c r="B418" s="144"/>
      <c r="C418" s="144"/>
      <c r="D418" s="144"/>
      <c r="E418" s="144"/>
      <c r="F418" s="109"/>
      <c r="G418" s="109"/>
      <c r="H418" s="109"/>
      <c r="I418" s="109"/>
      <c r="J418" s="109"/>
      <c r="K418" s="109"/>
      <c r="L418" s="109"/>
      <c r="M418" s="109"/>
      <c r="N418" s="166"/>
      <c r="O418" s="144"/>
      <c r="P418" s="42"/>
      <c r="Q418" s="42"/>
      <c r="R418" s="42"/>
      <c r="S418" s="42"/>
      <c r="T418" s="42"/>
      <c r="U418" s="42"/>
      <c r="V418" s="42"/>
      <c r="W418" s="42"/>
      <c r="X418" s="42"/>
      <c r="Y418" s="42"/>
      <c r="Z418" s="42"/>
    </row>
    <row r="419" spans="1:26" ht="15.75" customHeight="1" x14ac:dyDescent="0.25">
      <c r="A419" s="42"/>
      <c r="B419" s="144"/>
      <c r="C419" s="144"/>
      <c r="D419" s="144"/>
      <c r="E419" s="144"/>
      <c r="F419" s="109"/>
      <c r="G419" s="109"/>
      <c r="H419" s="109"/>
      <c r="I419" s="109"/>
      <c r="J419" s="109"/>
      <c r="K419" s="109"/>
      <c r="L419" s="109"/>
      <c r="M419" s="109"/>
      <c r="N419" s="166"/>
      <c r="O419" s="144"/>
      <c r="P419" s="42"/>
      <c r="Q419" s="42"/>
      <c r="R419" s="42"/>
      <c r="S419" s="42"/>
      <c r="T419" s="42"/>
      <c r="U419" s="42"/>
      <c r="V419" s="42"/>
      <c r="W419" s="42"/>
      <c r="X419" s="42"/>
      <c r="Y419" s="42"/>
      <c r="Z419" s="42"/>
    </row>
    <row r="420" spans="1:26" ht="15.75" customHeight="1" x14ac:dyDescent="0.25">
      <c r="A420" s="42"/>
      <c r="B420" s="144"/>
      <c r="C420" s="144"/>
      <c r="D420" s="144"/>
      <c r="E420" s="144"/>
      <c r="F420" s="109"/>
      <c r="G420" s="109"/>
      <c r="H420" s="109"/>
      <c r="I420" s="109"/>
      <c r="J420" s="109"/>
      <c r="K420" s="109"/>
      <c r="L420" s="109"/>
      <c r="M420" s="109"/>
      <c r="N420" s="166"/>
      <c r="O420" s="144"/>
      <c r="P420" s="42"/>
      <c r="Q420" s="42"/>
      <c r="R420" s="42"/>
      <c r="S420" s="42"/>
      <c r="T420" s="42"/>
      <c r="U420" s="42"/>
      <c r="V420" s="42"/>
      <c r="W420" s="42"/>
      <c r="X420" s="42"/>
      <c r="Y420" s="42"/>
      <c r="Z420" s="42"/>
    </row>
    <row r="421" spans="1:26" ht="15.75" customHeight="1" x14ac:dyDescent="0.25">
      <c r="A421" s="42"/>
      <c r="B421" s="144"/>
      <c r="C421" s="144"/>
      <c r="D421" s="144"/>
      <c r="E421" s="144"/>
      <c r="F421" s="109"/>
      <c r="G421" s="109"/>
      <c r="H421" s="109"/>
      <c r="I421" s="109"/>
      <c r="J421" s="109"/>
      <c r="K421" s="109"/>
      <c r="L421" s="109"/>
      <c r="M421" s="109"/>
      <c r="N421" s="166"/>
      <c r="O421" s="144"/>
      <c r="P421" s="42"/>
      <c r="Q421" s="42"/>
      <c r="R421" s="42"/>
      <c r="S421" s="42"/>
      <c r="T421" s="42"/>
      <c r="U421" s="42"/>
      <c r="V421" s="42"/>
      <c r="W421" s="42"/>
      <c r="X421" s="42"/>
      <c r="Y421" s="42"/>
      <c r="Z421" s="42"/>
    </row>
    <row r="422" spans="1:26" ht="15.75" customHeight="1" x14ac:dyDescent="0.25">
      <c r="A422" s="42"/>
      <c r="B422" s="144"/>
      <c r="C422" s="144"/>
      <c r="D422" s="144"/>
      <c r="E422" s="144"/>
      <c r="F422" s="109"/>
      <c r="G422" s="109"/>
      <c r="H422" s="109"/>
      <c r="I422" s="109"/>
      <c r="J422" s="109"/>
      <c r="K422" s="109"/>
      <c r="L422" s="109"/>
      <c r="M422" s="109"/>
      <c r="N422" s="166"/>
      <c r="O422" s="144"/>
      <c r="P422" s="42"/>
      <c r="Q422" s="42"/>
      <c r="R422" s="42"/>
      <c r="S422" s="42"/>
      <c r="T422" s="42"/>
      <c r="U422" s="42"/>
      <c r="V422" s="42"/>
      <c r="W422" s="42"/>
      <c r="X422" s="42"/>
      <c r="Y422" s="42"/>
      <c r="Z422" s="42"/>
    </row>
    <row r="423" spans="1:26" ht="15.75" customHeight="1" x14ac:dyDescent="0.25"/>
    <row r="424" spans="1:26" ht="15.75" customHeight="1" x14ac:dyDescent="0.25"/>
    <row r="425" spans="1:26" ht="15.75" customHeight="1" x14ac:dyDescent="0.25"/>
    <row r="426" spans="1:26" ht="15.75" customHeight="1" x14ac:dyDescent="0.25"/>
    <row r="427" spans="1:26" ht="15.75" customHeight="1" x14ac:dyDescent="0.25"/>
    <row r="428" spans="1:26" ht="15.75" customHeight="1" x14ac:dyDescent="0.25"/>
    <row r="429" spans="1:26" ht="15.75" customHeight="1" x14ac:dyDescent="0.25"/>
    <row r="430" spans="1:26" ht="15.75" customHeight="1" x14ac:dyDescent="0.25"/>
    <row r="431" spans="1:26" ht="15.75" customHeight="1" x14ac:dyDescent="0.25"/>
    <row r="432" spans="1:26"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F219:M219"/>
    <mergeCell ref="F220:M220"/>
    <mergeCell ref="F221:M221"/>
    <mergeCell ref="F202:M202"/>
    <mergeCell ref="F203:M203"/>
    <mergeCell ref="F204:M204"/>
    <mergeCell ref="F205:M205"/>
    <mergeCell ref="F206:M206"/>
    <mergeCell ref="F210:M210"/>
    <mergeCell ref="F211:M211"/>
    <mergeCell ref="F200:M200"/>
    <mergeCell ref="F201:M201"/>
    <mergeCell ref="F212:M212"/>
    <mergeCell ref="F217:M217"/>
    <mergeCell ref="F218:M218"/>
    <mergeCell ref="F195:M195"/>
    <mergeCell ref="F196:M196"/>
    <mergeCell ref="F197:M197"/>
    <mergeCell ref="F198:M198"/>
    <mergeCell ref="F199:M199"/>
  </mergeCells>
  <conditionalFormatting sqref="B10:E11 B61:E61">
    <cfRule type="expression" dxfId="13" priority="1">
      <formula>$J:$J="OK Geni"</formula>
    </cfRule>
    <cfRule type="expression" dxfId="12" priority="2">
      <formula>$J:$J="Cambiando precio"</formula>
    </cfRule>
  </conditionalFormatting>
  <conditionalFormatting sqref="B10:E13 B30:E33 B61:E61 B73:E73 B83:E84">
    <cfRule type="expression" dxfId="11" priority="4">
      <formula>$J:$J="Precio definido"</formula>
    </cfRule>
    <cfRule type="expression" dxfId="10" priority="5">
      <formula>$J:$J="2025"</formula>
    </cfRule>
    <cfRule type="expression" dxfId="9" priority="6">
      <formula>$J:$J="Si"</formula>
    </cfRule>
  </conditionalFormatting>
  <conditionalFormatting sqref="B10:E13 B61:E61 B30:E33 B73:E73 B83:E84">
    <cfRule type="expression" dxfId="8" priority="3">
      <formula>$J:$J="Por definir precio"</formula>
    </cfRule>
  </conditionalFormatting>
  <pageMargins left="0.7" right="0.7" top="0.75" bottom="0.75" header="0" footer="0"/>
  <pageSetup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4.42578125" defaultRowHeight="15" customHeight="1" x14ac:dyDescent="0.25"/>
  <cols>
    <col min="1" max="1" width="57.85546875" customWidth="1"/>
    <col min="2" max="3" width="16.7109375" hidden="1" customWidth="1"/>
    <col min="4" max="4" width="18.28515625" hidden="1" customWidth="1"/>
    <col min="5" max="5" width="26.5703125" hidden="1" customWidth="1"/>
    <col min="6" max="7" width="16.7109375" customWidth="1"/>
    <col min="8" max="8" width="18.28515625" customWidth="1"/>
    <col min="9" max="9" width="26.5703125" customWidth="1"/>
    <col min="10" max="12" width="24.42578125" customWidth="1"/>
  </cols>
  <sheetData>
    <row r="1" spans="1:12" x14ac:dyDescent="0.25">
      <c r="A1" s="180"/>
      <c r="B1" s="325">
        <v>45292</v>
      </c>
      <c r="C1" s="303"/>
      <c r="D1" s="303"/>
      <c r="E1" s="223"/>
      <c r="F1" s="326" t="s">
        <v>527</v>
      </c>
      <c r="G1" s="303"/>
      <c r="H1" s="303"/>
      <c r="I1" s="303"/>
      <c r="J1" s="223"/>
      <c r="K1" s="181"/>
      <c r="L1" s="181"/>
    </row>
    <row r="2" spans="1:12" x14ac:dyDescent="0.25">
      <c r="A2" s="180"/>
      <c r="B2" s="182" t="s">
        <v>57</v>
      </c>
      <c r="C2" s="182" t="s">
        <v>58</v>
      </c>
      <c r="D2" s="182" t="s">
        <v>59</v>
      </c>
      <c r="E2" s="182" t="s">
        <v>60</v>
      </c>
      <c r="F2" s="182" t="s">
        <v>57</v>
      </c>
      <c r="G2" s="182" t="s">
        <v>58</v>
      </c>
      <c r="H2" s="182" t="s">
        <v>59</v>
      </c>
      <c r="I2" s="182" t="s">
        <v>60</v>
      </c>
      <c r="J2" s="182" t="s">
        <v>528</v>
      </c>
      <c r="K2" s="181" t="s">
        <v>529</v>
      </c>
      <c r="L2" s="181" t="s">
        <v>530</v>
      </c>
    </row>
    <row r="3" spans="1:12" x14ac:dyDescent="0.25">
      <c r="A3" s="183" t="s">
        <v>68</v>
      </c>
      <c r="B3" s="184">
        <v>0</v>
      </c>
      <c r="C3" s="184">
        <v>0</v>
      </c>
      <c r="D3" s="184">
        <v>0</v>
      </c>
      <c r="E3" s="184">
        <v>0</v>
      </c>
      <c r="F3" s="184">
        <v>0</v>
      </c>
      <c r="G3" s="184">
        <v>0</v>
      </c>
      <c r="H3" s="184">
        <v>0</v>
      </c>
      <c r="I3" s="184">
        <v>0</v>
      </c>
      <c r="J3" s="185"/>
      <c r="K3" s="185"/>
      <c r="L3" s="185"/>
    </row>
    <row r="4" spans="1:12" ht="27.75" customHeight="1" x14ac:dyDescent="0.25">
      <c r="A4" s="186" t="s">
        <v>70</v>
      </c>
      <c r="B4" s="187">
        <v>160000</v>
      </c>
      <c r="C4" s="187">
        <v>70000</v>
      </c>
      <c r="D4" s="187">
        <v>104000</v>
      </c>
      <c r="E4" s="187">
        <v>56000</v>
      </c>
      <c r="F4" s="187">
        <v>160000</v>
      </c>
      <c r="G4" s="187">
        <v>70000</v>
      </c>
      <c r="H4" s="187">
        <v>104000</v>
      </c>
      <c r="I4" s="187">
        <v>56000</v>
      </c>
      <c r="J4" s="185"/>
      <c r="K4" s="185"/>
      <c r="L4" s="185"/>
    </row>
    <row r="5" spans="1:12" ht="15" customHeight="1" x14ac:dyDescent="0.25">
      <c r="A5" s="186" t="s">
        <v>531</v>
      </c>
      <c r="B5" s="187"/>
      <c r="C5" s="187"/>
      <c r="D5" s="187"/>
      <c r="E5" s="187"/>
      <c r="F5" s="187"/>
      <c r="G5" s="187"/>
      <c r="H5" s="187"/>
      <c r="I5" s="187"/>
      <c r="J5" s="185"/>
      <c r="K5" s="185"/>
      <c r="L5" s="185"/>
    </row>
    <row r="6" spans="1:12" ht="15" customHeight="1" x14ac:dyDescent="0.25">
      <c r="A6" s="186" t="s">
        <v>5</v>
      </c>
      <c r="B6" s="187">
        <v>180000</v>
      </c>
      <c r="C6" s="187">
        <v>100000</v>
      </c>
      <c r="D6" s="187">
        <v>100000</v>
      </c>
      <c r="E6" s="187">
        <v>80000</v>
      </c>
      <c r="F6" s="187">
        <v>180000</v>
      </c>
      <c r="G6" s="187">
        <v>100000</v>
      </c>
      <c r="H6" s="187">
        <v>100000</v>
      </c>
      <c r="I6" s="187">
        <v>80000</v>
      </c>
      <c r="J6" s="185"/>
      <c r="K6" s="185"/>
      <c r="L6" s="185"/>
    </row>
    <row r="7" spans="1:12" ht="15" customHeight="1" x14ac:dyDescent="0.25">
      <c r="A7" s="186" t="s">
        <v>74</v>
      </c>
      <c r="B7" s="187">
        <v>120000</v>
      </c>
      <c r="C7" s="187">
        <v>250000</v>
      </c>
      <c r="D7" s="187">
        <v>35000</v>
      </c>
      <c r="E7" s="187">
        <v>85000</v>
      </c>
      <c r="F7" s="187">
        <v>120000</v>
      </c>
      <c r="G7" s="187">
        <v>250000</v>
      </c>
      <c r="H7" s="187">
        <v>35000</v>
      </c>
      <c r="I7" s="187">
        <v>85000</v>
      </c>
      <c r="J7" s="185" t="s">
        <v>532</v>
      </c>
      <c r="K7" s="185"/>
      <c r="L7" s="185"/>
    </row>
    <row r="8" spans="1:12" ht="15" customHeight="1" x14ac:dyDescent="0.25">
      <c r="A8" s="186" t="s">
        <v>78</v>
      </c>
      <c r="B8" s="187">
        <v>90000</v>
      </c>
      <c r="C8" s="187">
        <v>250000</v>
      </c>
      <c r="D8" s="187">
        <v>47500</v>
      </c>
      <c r="E8" s="187">
        <v>42500</v>
      </c>
      <c r="F8" s="187">
        <v>90000</v>
      </c>
      <c r="G8" s="187">
        <v>250000</v>
      </c>
      <c r="H8" s="187">
        <v>47500</v>
      </c>
      <c r="I8" s="187">
        <v>42500</v>
      </c>
      <c r="J8" s="185" t="s">
        <v>532</v>
      </c>
      <c r="K8" s="185"/>
      <c r="L8" s="185"/>
    </row>
    <row r="9" spans="1:12" ht="15.75" customHeight="1" x14ac:dyDescent="0.25">
      <c r="A9" s="186" t="s">
        <v>11</v>
      </c>
      <c r="B9" s="187">
        <v>440000</v>
      </c>
      <c r="C9" s="187">
        <v>370000</v>
      </c>
      <c r="D9" s="187">
        <v>123000</v>
      </c>
      <c r="E9" s="187">
        <v>370000</v>
      </c>
      <c r="F9" s="187">
        <v>440000</v>
      </c>
      <c r="G9" s="187">
        <v>370000</v>
      </c>
      <c r="H9" s="187">
        <v>123000</v>
      </c>
      <c r="I9" s="187">
        <v>370000</v>
      </c>
      <c r="J9" s="185" t="s">
        <v>533</v>
      </c>
      <c r="K9" s="185"/>
      <c r="L9" s="185"/>
    </row>
    <row r="10" spans="1:12" ht="15.75" customHeight="1" x14ac:dyDescent="0.25">
      <c r="A10" s="186" t="s">
        <v>85</v>
      </c>
      <c r="B10" s="187">
        <v>290000</v>
      </c>
      <c r="C10" s="187">
        <v>125000</v>
      </c>
      <c r="D10" s="187">
        <v>105000</v>
      </c>
      <c r="E10" s="187">
        <v>185000</v>
      </c>
      <c r="F10" s="187">
        <v>290000</v>
      </c>
      <c r="G10" s="187">
        <v>125000</v>
      </c>
      <c r="H10" s="187">
        <v>105000</v>
      </c>
      <c r="I10" s="187">
        <v>185000</v>
      </c>
      <c r="J10" s="185"/>
      <c r="K10" s="185"/>
      <c r="L10" s="185"/>
    </row>
    <row r="11" spans="1:12" ht="15.75" customHeight="1" x14ac:dyDescent="0.25">
      <c r="A11" s="186" t="s">
        <v>7</v>
      </c>
      <c r="B11" s="187">
        <v>360000</v>
      </c>
      <c r="C11" s="187">
        <v>200000</v>
      </c>
      <c r="D11" s="187">
        <v>110000</v>
      </c>
      <c r="E11" s="187">
        <v>250000</v>
      </c>
      <c r="F11" s="187">
        <v>390000</v>
      </c>
      <c r="G11" s="187">
        <v>200000</v>
      </c>
      <c r="H11" s="187">
        <f t="shared" ref="H11:H12" si="0">F11-I11</f>
        <v>110000</v>
      </c>
      <c r="I11" s="187">
        <v>280000</v>
      </c>
      <c r="J11" s="185" t="s">
        <v>532</v>
      </c>
      <c r="K11" s="185"/>
      <c r="L11" s="185"/>
    </row>
    <row r="12" spans="1:12" ht="17.25" customHeight="1" x14ac:dyDescent="0.25">
      <c r="A12" s="186" t="s">
        <v>12</v>
      </c>
      <c r="B12" s="187">
        <v>450000</v>
      </c>
      <c r="C12" s="187">
        <v>300000</v>
      </c>
      <c r="D12" s="187">
        <v>120000</v>
      </c>
      <c r="E12" s="187">
        <v>330000</v>
      </c>
      <c r="F12" s="187">
        <v>470000</v>
      </c>
      <c r="G12" s="187">
        <v>300000</v>
      </c>
      <c r="H12" s="187">
        <f t="shared" si="0"/>
        <v>100000</v>
      </c>
      <c r="I12" s="187">
        <v>370000</v>
      </c>
      <c r="J12" s="185" t="s">
        <v>532</v>
      </c>
      <c r="K12" s="185"/>
      <c r="L12" s="185"/>
    </row>
    <row r="13" spans="1:12" ht="15.75" customHeight="1" x14ac:dyDescent="0.25">
      <c r="A13" s="186" t="s">
        <v>534</v>
      </c>
      <c r="B13" s="188">
        <v>80</v>
      </c>
      <c r="C13" s="188">
        <v>0</v>
      </c>
      <c r="D13" s="188">
        <v>80</v>
      </c>
      <c r="E13" s="188"/>
      <c r="F13" s="188">
        <v>80</v>
      </c>
      <c r="G13" s="188">
        <v>0</v>
      </c>
      <c r="H13" s="188">
        <v>80</v>
      </c>
      <c r="I13" s="188"/>
      <c r="J13" s="189"/>
      <c r="K13" s="189"/>
      <c r="L13" s="189"/>
    </row>
    <row r="14" spans="1:12" ht="15.75" customHeight="1" x14ac:dyDescent="0.25">
      <c r="A14" s="186" t="s">
        <v>535</v>
      </c>
      <c r="B14" s="187">
        <v>390000</v>
      </c>
      <c r="C14" s="187">
        <v>360000</v>
      </c>
      <c r="D14" s="187">
        <v>120000</v>
      </c>
      <c r="E14" s="187">
        <v>270000</v>
      </c>
      <c r="F14" s="187">
        <v>420000</v>
      </c>
      <c r="G14" s="187">
        <v>380000</v>
      </c>
      <c r="H14" s="187">
        <f>F14-I14</f>
        <v>130000</v>
      </c>
      <c r="I14" s="187">
        <v>290000</v>
      </c>
      <c r="J14" s="185" t="s">
        <v>532</v>
      </c>
      <c r="K14" s="190">
        <v>45651</v>
      </c>
      <c r="L14" s="190">
        <v>45672</v>
      </c>
    </row>
    <row r="15" spans="1:12" ht="15.75" customHeight="1" x14ac:dyDescent="0.25">
      <c r="A15" s="186" t="s">
        <v>536</v>
      </c>
      <c r="B15" s="187">
        <v>540000</v>
      </c>
      <c r="C15" s="187">
        <v>505000</v>
      </c>
      <c r="D15" s="187">
        <v>135000</v>
      </c>
      <c r="E15" s="187">
        <v>405000</v>
      </c>
      <c r="F15" s="187">
        <v>580000</v>
      </c>
      <c r="G15" s="187">
        <v>530000</v>
      </c>
      <c r="H15" s="187">
        <f>G15-I15</f>
        <v>100000</v>
      </c>
      <c r="I15" s="187">
        <v>430000</v>
      </c>
      <c r="J15" s="185" t="s">
        <v>532</v>
      </c>
      <c r="K15" s="190">
        <v>45651</v>
      </c>
      <c r="L15" s="190">
        <v>45672</v>
      </c>
    </row>
    <row r="16" spans="1:12" ht="15.75" customHeight="1" x14ac:dyDescent="0.25">
      <c r="A16" s="186" t="s">
        <v>100</v>
      </c>
      <c r="B16" s="187">
        <v>250000</v>
      </c>
      <c r="C16" s="187">
        <v>185000</v>
      </c>
      <c r="D16" s="187">
        <v>20000</v>
      </c>
      <c r="E16" s="187">
        <v>230000</v>
      </c>
      <c r="F16" s="187">
        <v>250000</v>
      </c>
      <c r="G16" s="187">
        <v>185000</v>
      </c>
      <c r="H16" s="187">
        <f>F16-I16</f>
        <v>20000</v>
      </c>
      <c r="I16" s="187">
        <v>230000</v>
      </c>
      <c r="J16" s="185"/>
      <c r="K16" s="185"/>
      <c r="L16" s="185"/>
    </row>
    <row r="17" spans="1:12" ht="17.25" customHeight="1" x14ac:dyDescent="0.25">
      <c r="A17" s="186" t="s">
        <v>102</v>
      </c>
      <c r="B17" s="187">
        <v>250000</v>
      </c>
      <c r="C17" s="187">
        <v>185000</v>
      </c>
      <c r="D17" s="187">
        <v>65000</v>
      </c>
      <c r="E17" s="187">
        <v>185000</v>
      </c>
      <c r="F17" s="187">
        <v>250000</v>
      </c>
      <c r="G17" s="187">
        <v>185000</v>
      </c>
      <c r="H17" s="187">
        <v>65000</v>
      </c>
      <c r="I17" s="187">
        <v>185000</v>
      </c>
      <c r="J17" s="185"/>
      <c r="K17" s="185"/>
      <c r="L17" s="185"/>
    </row>
    <row r="18" spans="1:12" ht="15.75" customHeight="1" x14ac:dyDescent="0.25">
      <c r="A18" s="186" t="s">
        <v>102</v>
      </c>
      <c r="B18" s="187">
        <v>300000</v>
      </c>
      <c r="C18" s="187">
        <v>185000</v>
      </c>
      <c r="D18" s="187">
        <v>70000</v>
      </c>
      <c r="E18" s="187">
        <v>230000</v>
      </c>
      <c r="F18" s="187">
        <v>300000</v>
      </c>
      <c r="G18" s="187">
        <v>185000</v>
      </c>
      <c r="H18" s="187">
        <v>70000</v>
      </c>
      <c r="I18" s="187">
        <v>230000</v>
      </c>
      <c r="J18" s="185"/>
      <c r="K18" s="185"/>
      <c r="L18" s="185"/>
    </row>
    <row r="19" spans="1:12" ht="15.75" customHeight="1" x14ac:dyDescent="0.25">
      <c r="A19" s="186" t="s">
        <v>537</v>
      </c>
      <c r="B19" s="187">
        <v>120</v>
      </c>
      <c r="C19" s="187">
        <v>0</v>
      </c>
      <c r="D19" s="187">
        <v>50000</v>
      </c>
      <c r="E19" s="187">
        <v>-49880</v>
      </c>
      <c r="F19" s="187">
        <v>120</v>
      </c>
      <c r="G19" s="187">
        <v>0</v>
      </c>
      <c r="H19" s="187">
        <v>50000</v>
      </c>
      <c r="I19" s="187">
        <v>-49880</v>
      </c>
      <c r="J19" s="185"/>
      <c r="K19" s="185"/>
      <c r="L19" s="185"/>
    </row>
    <row r="20" spans="1:12" ht="15.75" customHeight="1" x14ac:dyDescent="0.25">
      <c r="A20" s="186" t="s">
        <v>104</v>
      </c>
      <c r="B20" s="187">
        <v>550000</v>
      </c>
      <c r="C20" s="187">
        <v>400000</v>
      </c>
      <c r="D20" s="187">
        <v>190000</v>
      </c>
      <c r="E20" s="187">
        <v>360000</v>
      </c>
      <c r="F20" s="187">
        <v>550000</v>
      </c>
      <c r="G20" s="187">
        <v>400000</v>
      </c>
      <c r="H20" s="187">
        <v>190000</v>
      </c>
      <c r="I20" s="187">
        <v>360000</v>
      </c>
      <c r="J20" s="185"/>
      <c r="K20" s="185"/>
      <c r="L20" s="185"/>
    </row>
    <row r="21" spans="1:12" ht="15.75" customHeight="1" x14ac:dyDescent="0.25">
      <c r="A21" s="186" t="s">
        <v>107</v>
      </c>
      <c r="B21" s="187">
        <v>300000</v>
      </c>
      <c r="C21" s="187">
        <v>250000</v>
      </c>
      <c r="D21" s="187">
        <v>50000</v>
      </c>
      <c r="E21" s="187">
        <v>250000</v>
      </c>
      <c r="F21" s="187">
        <v>300000</v>
      </c>
      <c r="G21" s="187">
        <v>250000</v>
      </c>
      <c r="H21" s="187">
        <v>50000</v>
      </c>
      <c r="I21" s="187">
        <v>250000</v>
      </c>
      <c r="J21" s="185"/>
      <c r="K21" s="185"/>
      <c r="L21" s="185"/>
    </row>
    <row r="22" spans="1:12" ht="14.25" customHeight="1" x14ac:dyDescent="0.25">
      <c r="A22" s="186" t="s">
        <v>110</v>
      </c>
      <c r="B22" s="187">
        <v>240000</v>
      </c>
      <c r="C22" s="187">
        <v>250000</v>
      </c>
      <c r="D22" s="187">
        <v>115000</v>
      </c>
      <c r="E22" s="187">
        <v>125000</v>
      </c>
      <c r="F22" s="187">
        <v>240000</v>
      </c>
      <c r="G22" s="187">
        <v>250000</v>
      </c>
      <c r="H22" s="187">
        <v>115000</v>
      </c>
      <c r="I22" s="187">
        <v>125000</v>
      </c>
      <c r="J22" s="185"/>
      <c r="K22" s="185"/>
      <c r="L22" s="185"/>
    </row>
    <row r="23" spans="1:12" ht="15.75" customHeight="1" x14ac:dyDescent="0.25">
      <c r="A23" s="186" t="s">
        <v>538</v>
      </c>
      <c r="B23" s="187">
        <v>330000</v>
      </c>
      <c r="C23" s="187">
        <v>245000</v>
      </c>
      <c r="D23" s="187">
        <v>135000</v>
      </c>
      <c r="E23" s="187">
        <v>195000</v>
      </c>
      <c r="F23" s="187">
        <v>330000</v>
      </c>
      <c r="G23" s="187">
        <v>245000</v>
      </c>
      <c r="H23" s="187">
        <v>135000</v>
      </c>
      <c r="I23" s="187">
        <v>195000</v>
      </c>
      <c r="J23" s="185"/>
      <c r="K23" s="185"/>
      <c r="L23" s="185"/>
    </row>
    <row r="24" spans="1:12" ht="15.75" customHeight="1" x14ac:dyDescent="0.25">
      <c r="A24" s="186" t="s">
        <v>539</v>
      </c>
      <c r="B24" s="187">
        <v>330000</v>
      </c>
      <c r="C24" s="187">
        <v>245000</v>
      </c>
      <c r="D24" s="187">
        <v>135000</v>
      </c>
      <c r="E24" s="187">
        <v>195000</v>
      </c>
      <c r="F24" s="187">
        <v>330000</v>
      </c>
      <c r="G24" s="187">
        <v>245000</v>
      </c>
      <c r="H24" s="187">
        <v>135000</v>
      </c>
      <c r="I24" s="187">
        <v>195000</v>
      </c>
      <c r="J24" s="185"/>
      <c r="K24" s="185"/>
      <c r="L24" s="185"/>
    </row>
    <row r="25" spans="1:12" ht="15" customHeight="1" x14ac:dyDescent="0.25">
      <c r="A25" s="186" t="s">
        <v>112</v>
      </c>
      <c r="B25" s="187">
        <v>290000</v>
      </c>
      <c r="C25" s="187">
        <v>245000</v>
      </c>
      <c r="D25" s="187">
        <v>95000</v>
      </c>
      <c r="E25" s="187">
        <v>195000</v>
      </c>
      <c r="F25" s="187">
        <v>290000</v>
      </c>
      <c r="G25" s="187">
        <v>245000</v>
      </c>
      <c r="H25" s="187">
        <v>95000</v>
      </c>
      <c r="I25" s="187">
        <v>195000</v>
      </c>
      <c r="J25" s="185"/>
      <c r="K25" s="185"/>
      <c r="L25" s="185"/>
    </row>
    <row r="26" spans="1:12" ht="15" customHeight="1" x14ac:dyDescent="0.25">
      <c r="A26" s="186" t="s">
        <v>118</v>
      </c>
      <c r="B26" s="187">
        <v>300000</v>
      </c>
      <c r="C26" s="187">
        <v>245000</v>
      </c>
      <c r="D26" s="187">
        <v>150000</v>
      </c>
      <c r="E26" s="187">
        <v>150000</v>
      </c>
      <c r="F26" s="187">
        <v>300000</v>
      </c>
      <c r="G26" s="187">
        <v>245000</v>
      </c>
      <c r="H26" s="187">
        <v>150000</v>
      </c>
      <c r="I26" s="187">
        <v>150000</v>
      </c>
      <c r="J26" s="185"/>
      <c r="K26" s="185"/>
      <c r="L26" s="185"/>
    </row>
    <row r="27" spans="1:12" ht="15.75" customHeight="1" x14ac:dyDescent="0.25">
      <c r="A27" s="186" t="s">
        <v>120</v>
      </c>
      <c r="B27" s="187">
        <v>320000</v>
      </c>
      <c r="C27" s="187">
        <v>100000</v>
      </c>
      <c r="D27" s="187">
        <v>170000</v>
      </c>
      <c r="E27" s="187">
        <v>150000</v>
      </c>
      <c r="F27" s="187">
        <v>320000</v>
      </c>
      <c r="G27" s="187">
        <v>100000</v>
      </c>
      <c r="H27" s="187">
        <v>170000</v>
      </c>
      <c r="I27" s="187">
        <v>150000</v>
      </c>
      <c r="J27" s="185"/>
      <c r="K27" s="185"/>
      <c r="L27" s="185"/>
    </row>
    <row r="28" spans="1:12" ht="14.25" customHeight="1" x14ac:dyDescent="0.25">
      <c r="A28" s="186" t="s">
        <v>122</v>
      </c>
      <c r="B28" s="187">
        <v>320000</v>
      </c>
      <c r="C28" s="187">
        <v>100000</v>
      </c>
      <c r="D28" s="187">
        <v>170000</v>
      </c>
      <c r="E28" s="187">
        <v>150000</v>
      </c>
      <c r="F28" s="187">
        <v>320000</v>
      </c>
      <c r="G28" s="187">
        <v>100000</v>
      </c>
      <c r="H28" s="187">
        <v>170000</v>
      </c>
      <c r="I28" s="187">
        <v>150000</v>
      </c>
      <c r="J28" s="185"/>
      <c r="K28" s="185"/>
      <c r="L28" s="185"/>
    </row>
    <row r="29" spans="1:12" ht="15" customHeight="1" x14ac:dyDescent="0.25">
      <c r="A29" s="186" t="s">
        <v>123</v>
      </c>
      <c r="B29" s="187">
        <v>450000</v>
      </c>
      <c r="C29" s="187">
        <v>100000</v>
      </c>
      <c r="D29" s="187">
        <v>200000</v>
      </c>
      <c r="E29" s="187">
        <v>250000</v>
      </c>
      <c r="F29" s="187">
        <v>450000</v>
      </c>
      <c r="G29" s="187">
        <v>100000</v>
      </c>
      <c r="H29" s="187">
        <v>200000</v>
      </c>
      <c r="I29" s="187">
        <v>250000</v>
      </c>
      <c r="J29" s="185"/>
      <c r="K29" s="185"/>
      <c r="L29" s="185"/>
    </row>
    <row r="30" spans="1:12" ht="15" customHeight="1" x14ac:dyDescent="0.25">
      <c r="A30" s="186" t="s">
        <v>125</v>
      </c>
      <c r="B30" s="187">
        <v>390000</v>
      </c>
      <c r="C30" s="187">
        <v>195000</v>
      </c>
      <c r="D30" s="187">
        <v>180000</v>
      </c>
      <c r="E30" s="187">
        <v>210000</v>
      </c>
      <c r="F30" s="187">
        <v>390000</v>
      </c>
      <c r="G30" s="187">
        <v>195000</v>
      </c>
      <c r="H30" s="187">
        <v>180000</v>
      </c>
      <c r="I30" s="187">
        <v>210000</v>
      </c>
      <c r="J30" s="185"/>
      <c r="K30" s="185"/>
      <c r="L30" s="185"/>
    </row>
    <row r="31" spans="1:12" ht="15" customHeight="1" x14ac:dyDescent="0.25">
      <c r="A31" s="186" t="s">
        <v>129</v>
      </c>
      <c r="B31" s="187"/>
      <c r="C31" s="187"/>
      <c r="D31" s="187"/>
      <c r="E31" s="187"/>
      <c r="F31" s="187"/>
      <c r="G31" s="187"/>
      <c r="H31" s="187"/>
      <c r="I31" s="187"/>
      <c r="J31" s="185"/>
      <c r="K31" s="185"/>
      <c r="L31" s="185"/>
    </row>
    <row r="32" spans="1:12" ht="15" customHeight="1" x14ac:dyDescent="0.25">
      <c r="A32" s="186" t="s">
        <v>130</v>
      </c>
      <c r="B32" s="187"/>
      <c r="C32" s="187"/>
      <c r="D32" s="187"/>
      <c r="E32" s="187"/>
      <c r="F32" s="187"/>
      <c r="G32" s="187"/>
      <c r="H32" s="187"/>
      <c r="I32" s="187"/>
      <c r="J32" s="185"/>
      <c r="K32" s="185"/>
      <c r="L32" s="185"/>
    </row>
    <row r="33" spans="1:12" ht="15" customHeight="1" x14ac:dyDescent="0.25">
      <c r="A33" s="186" t="s">
        <v>131</v>
      </c>
      <c r="B33" s="187">
        <v>190000</v>
      </c>
      <c r="C33" s="187">
        <v>0</v>
      </c>
      <c r="D33" s="187">
        <v>75000</v>
      </c>
      <c r="E33" s="187">
        <v>115000</v>
      </c>
      <c r="F33" s="187">
        <v>190000</v>
      </c>
      <c r="G33" s="187">
        <v>0</v>
      </c>
      <c r="H33" s="187">
        <v>75000</v>
      </c>
      <c r="I33" s="187">
        <v>115000</v>
      </c>
      <c r="J33" s="185"/>
      <c r="K33" s="185"/>
      <c r="L33" s="185"/>
    </row>
    <row r="34" spans="1:12" ht="15.75" customHeight="1" x14ac:dyDescent="0.25">
      <c r="A34" s="186" t="s">
        <v>135</v>
      </c>
      <c r="B34" s="187">
        <v>190000</v>
      </c>
      <c r="C34" s="187">
        <v>0</v>
      </c>
      <c r="D34" s="187">
        <v>75000</v>
      </c>
      <c r="E34" s="187">
        <v>115000</v>
      </c>
      <c r="F34" s="187">
        <v>190000</v>
      </c>
      <c r="G34" s="187">
        <v>0</v>
      </c>
      <c r="H34" s="187">
        <v>75000</v>
      </c>
      <c r="I34" s="187">
        <v>115000</v>
      </c>
      <c r="J34" s="185"/>
      <c r="K34" s="185"/>
      <c r="L34" s="185"/>
    </row>
    <row r="35" spans="1:12" ht="15.75" customHeight="1" x14ac:dyDescent="0.25">
      <c r="A35" s="186" t="s">
        <v>138</v>
      </c>
      <c r="B35" s="187">
        <v>360000</v>
      </c>
      <c r="C35" s="187">
        <v>310000</v>
      </c>
      <c r="D35" s="187">
        <v>120000</v>
      </c>
      <c r="E35" s="187">
        <v>240000</v>
      </c>
      <c r="F35" s="187">
        <v>400000</v>
      </c>
      <c r="G35" s="187">
        <v>310000</v>
      </c>
      <c r="H35" s="187">
        <f t="shared" ref="H35:H36" si="1">F35-I35</f>
        <v>135000</v>
      </c>
      <c r="I35" s="187">
        <v>265000</v>
      </c>
      <c r="J35" s="185" t="s">
        <v>532</v>
      </c>
      <c r="K35" s="190"/>
      <c r="L35" s="190"/>
    </row>
    <row r="36" spans="1:12" ht="15.75" customHeight="1" x14ac:dyDescent="0.25">
      <c r="A36" s="186" t="s">
        <v>143</v>
      </c>
      <c r="B36" s="187">
        <v>320000</v>
      </c>
      <c r="C36" s="187">
        <v>150000</v>
      </c>
      <c r="D36" s="187">
        <v>100000</v>
      </c>
      <c r="E36" s="187">
        <v>220000</v>
      </c>
      <c r="F36" s="187">
        <v>300000</v>
      </c>
      <c r="G36" s="187">
        <v>150000</v>
      </c>
      <c r="H36" s="187">
        <f t="shared" si="1"/>
        <v>60000</v>
      </c>
      <c r="I36" s="187">
        <v>240000</v>
      </c>
      <c r="J36" s="185" t="s">
        <v>532</v>
      </c>
      <c r="K36" s="190"/>
      <c r="L36" s="190"/>
    </row>
    <row r="37" spans="1:12" ht="14.25" customHeight="1" x14ac:dyDescent="0.25">
      <c r="A37" s="186" t="s">
        <v>147</v>
      </c>
      <c r="B37" s="187">
        <v>370000</v>
      </c>
      <c r="C37" s="187">
        <v>250000</v>
      </c>
      <c r="D37" s="187">
        <v>138000</v>
      </c>
      <c r="E37" s="187">
        <v>232000</v>
      </c>
      <c r="F37" s="187">
        <v>370000</v>
      </c>
      <c r="G37" s="187">
        <v>250000</v>
      </c>
      <c r="H37" s="187">
        <v>138000</v>
      </c>
      <c r="I37" s="187">
        <v>232000</v>
      </c>
      <c r="J37" s="185"/>
      <c r="K37" s="185"/>
      <c r="L37" s="185"/>
    </row>
    <row r="38" spans="1:12" ht="15.75" customHeight="1" x14ac:dyDescent="0.25">
      <c r="A38" s="186" t="s">
        <v>153</v>
      </c>
      <c r="B38" s="187">
        <v>310000</v>
      </c>
      <c r="C38" s="187">
        <v>140000</v>
      </c>
      <c r="D38" s="187">
        <v>190000</v>
      </c>
      <c r="E38" s="187">
        <v>120000</v>
      </c>
      <c r="F38" s="187">
        <v>310000</v>
      </c>
      <c r="G38" s="187">
        <v>140000</v>
      </c>
      <c r="H38" s="187">
        <v>190000</v>
      </c>
      <c r="I38" s="187">
        <v>120000</v>
      </c>
      <c r="J38" s="185"/>
      <c r="K38" s="185"/>
      <c r="L38" s="185"/>
    </row>
    <row r="39" spans="1:12" ht="15.75" customHeight="1" x14ac:dyDescent="0.25">
      <c r="A39" s="186" t="s">
        <v>155</v>
      </c>
      <c r="B39" s="187">
        <v>270000</v>
      </c>
      <c r="C39" s="187">
        <v>90000</v>
      </c>
      <c r="D39" s="187">
        <v>170000</v>
      </c>
      <c r="E39" s="187">
        <v>100000</v>
      </c>
      <c r="F39" s="187">
        <v>270000</v>
      </c>
      <c r="G39" s="187">
        <v>90000</v>
      </c>
      <c r="H39" s="187">
        <v>170000</v>
      </c>
      <c r="I39" s="187">
        <v>100000</v>
      </c>
      <c r="J39" s="185"/>
      <c r="K39" s="185"/>
      <c r="L39" s="185"/>
    </row>
    <row r="40" spans="1:12" ht="15" customHeight="1" x14ac:dyDescent="0.25">
      <c r="A40" s="186" t="s">
        <v>157</v>
      </c>
      <c r="B40" s="187"/>
      <c r="C40" s="187"/>
      <c r="D40" s="187"/>
      <c r="E40" s="187">
        <v>200000</v>
      </c>
      <c r="F40" s="187"/>
      <c r="G40" s="187"/>
      <c r="H40" s="187"/>
      <c r="I40" s="187">
        <v>200000</v>
      </c>
      <c r="J40" s="185"/>
      <c r="K40" s="185"/>
      <c r="L40" s="185"/>
    </row>
    <row r="41" spans="1:12" ht="15" customHeight="1" x14ac:dyDescent="0.25">
      <c r="A41" s="186" t="s">
        <v>159</v>
      </c>
      <c r="B41" s="187">
        <v>330000</v>
      </c>
      <c r="C41" s="187">
        <v>200000</v>
      </c>
      <c r="D41" s="187">
        <v>170000</v>
      </c>
      <c r="E41" s="187">
        <v>160000</v>
      </c>
      <c r="F41" s="187">
        <v>330000</v>
      </c>
      <c r="G41" s="187">
        <v>200000</v>
      </c>
      <c r="H41" s="187">
        <v>170000</v>
      </c>
      <c r="I41" s="187">
        <v>160000</v>
      </c>
      <c r="J41" s="185"/>
      <c r="K41" s="185"/>
      <c r="L41" s="185"/>
    </row>
    <row r="42" spans="1:12" ht="15.75" customHeight="1" x14ac:dyDescent="0.25">
      <c r="A42" s="186" t="s">
        <v>162</v>
      </c>
      <c r="B42" s="187">
        <v>270000</v>
      </c>
      <c r="C42" s="187">
        <v>160000</v>
      </c>
      <c r="D42" s="187">
        <v>140000</v>
      </c>
      <c r="E42" s="187">
        <v>130000</v>
      </c>
      <c r="F42" s="187">
        <v>270000</v>
      </c>
      <c r="G42" s="187">
        <v>160000</v>
      </c>
      <c r="H42" s="187">
        <v>140000</v>
      </c>
      <c r="I42" s="187">
        <v>130000</v>
      </c>
      <c r="J42" s="185"/>
      <c r="K42" s="185"/>
      <c r="L42" s="185"/>
    </row>
    <row r="43" spans="1:12" ht="16.5" customHeight="1" x14ac:dyDescent="0.25">
      <c r="A43" s="186" t="s">
        <v>164</v>
      </c>
      <c r="B43" s="187">
        <v>390000</v>
      </c>
      <c r="C43" s="187">
        <v>340000</v>
      </c>
      <c r="D43" s="187">
        <v>120000</v>
      </c>
      <c r="E43" s="187">
        <v>270000</v>
      </c>
      <c r="F43" s="187">
        <v>390000</v>
      </c>
      <c r="G43" s="187">
        <v>340000</v>
      </c>
      <c r="H43" s="187">
        <v>120000</v>
      </c>
      <c r="I43" s="187">
        <v>270000</v>
      </c>
      <c r="J43" s="185"/>
      <c r="K43" s="185"/>
      <c r="L43" s="185"/>
    </row>
    <row r="44" spans="1:12" ht="15" customHeight="1" x14ac:dyDescent="0.25">
      <c r="A44" s="186" t="s">
        <v>170</v>
      </c>
      <c r="B44" s="187">
        <v>350000</v>
      </c>
      <c r="C44" s="187">
        <v>180000</v>
      </c>
      <c r="D44" s="187">
        <v>166000</v>
      </c>
      <c r="E44" s="187">
        <v>184000</v>
      </c>
      <c r="F44" s="187">
        <v>350000</v>
      </c>
      <c r="G44" s="187">
        <v>180000</v>
      </c>
      <c r="H44" s="187">
        <v>166000</v>
      </c>
      <c r="I44" s="187">
        <v>184000</v>
      </c>
      <c r="J44" s="185"/>
      <c r="K44" s="185"/>
      <c r="L44" s="185"/>
    </row>
    <row r="45" spans="1:12" ht="15" customHeight="1" x14ac:dyDescent="0.25">
      <c r="A45" s="186" t="s">
        <v>172</v>
      </c>
      <c r="B45" s="187">
        <v>350000</v>
      </c>
      <c r="C45" s="187">
        <v>180000</v>
      </c>
      <c r="D45" s="187">
        <v>230000</v>
      </c>
      <c r="E45" s="187">
        <v>120000</v>
      </c>
      <c r="F45" s="187">
        <v>350000</v>
      </c>
      <c r="G45" s="187">
        <v>180000</v>
      </c>
      <c r="H45" s="187">
        <v>230000</v>
      </c>
      <c r="I45" s="187">
        <v>120000</v>
      </c>
      <c r="J45" s="185"/>
      <c r="K45" s="185"/>
      <c r="L45" s="185"/>
    </row>
    <row r="46" spans="1:12" ht="15" customHeight="1" x14ac:dyDescent="0.25">
      <c r="A46" s="186" t="s">
        <v>174</v>
      </c>
      <c r="B46" s="187"/>
      <c r="C46" s="187">
        <v>260000</v>
      </c>
      <c r="D46" s="187">
        <v>-234000</v>
      </c>
      <c r="E46" s="187">
        <v>234000</v>
      </c>
      <c r="F46" s="187"/>
      <c r="G46" s="187">
        <v>260000</v>
      </c>
      <c r="H46" s="187">
        <v>-234000</v>
      </c>
      <c r="I46" s="187">
        <v>234000</v>
      </c>
      <c r="J46" s="185"/>
      <c r="K46" s="185"/>
      <c r="L46" s="185"/>
    </row>
    <row r="47" spans="1:12" ht="15" customHeight="1" x14ac:dyDescent="0.25">
      <c r="A47" s="186" t="s">
        <v>9</v>
      </c>
      <c r="B47" s="187">
        <v>500000</v>
      </c>
      <c r="C47" s="187">
        <v>250000</v>
      </c>
      <c r="D47" s="187">
        <v>170000</v>
      </c>
      <c r="E47" s="187">
        <v>330000</v>
      </c>
      <c r="F47" s="187">
        <v>500000</v>
      </c>
      <c r="G47" s="187">
        <v>250000</v>
      </c>
      <c r="H47" s="187">
        <v>170000</v>
      </c>
      <c r="I47" s="187">
        <v>330000</v>
      </c>
      <c r="J47" s="185"/>
      <c r="K47" s="185"/>
      <c r="L47" s="185"/>
    </row>
    <row r="48" spans="1:12" ht="15" customHeight="1" x14ac:dyDescent="0.25">
      <c r="A48" s="186" t="s">
        <v>540</v>
      </c>
      <c r="B48" s="187">
        <v>550000</v>
      </c>
      <c r="C48" s="187">
        <v>250000</v>
      </c>
      <c r="D48" s="187">
        <v>220000</v>
      </c>
      <c r="E48" s="187">
        <v>330000</v>
      </c>
      <c r="F48" s="187">
        <v>550000</v>
      </c>
      <c r="G48" s="187">
        <v>250000</v>
      </c>
      <c r="H48" s="187">
        <v>220000</v>
      </c>
      <c r="I48" s="187">
        <v>330000</v>
      </c>
      <c r="J48" s="185"/>
      <c r="K48" s="185"/>
      <c r="L48" s="185"/>
    </row>
    <row r="49" spans="1:12" ht="15.75" customHeight="1" x14ac:dyDescent="0.25">
      <c r="A49" s="186" t="s">
        <v>541</v>
      </c>
      <c r="B49" s="187">
        <v>400000</v>
      </c>
      <c r="C49" s="187">
        <v>250000</v>
      </c>
      <c r="D49" s="187">
        <v>150000</v>
      </c>
      <c r="E49" s="187">
        <v>250000</v>
      </c>
      <c r="F49" s="187">
        <v>400000</v>
      </c>
      <c r="G49" s="187">
        <v>250000</v>
      </c>
      <c r="H49" s="187">
        <v>150000</v>
      </c>
      <c r="I49" s="187">
        <v>250000</v>
      </c>
      <c r="J49" s="185"/>
      <c r="K49" s="185"/>
      <c r="L49" s="185"/>
    </row>
    <row r="50" spans="1:12" ht="15.75" customHeight="1" x14ac:dyDescent="0.25">
      <c r="A50" s="186" t="s">
        <v>180</v>
      </c>
      <c r="B50" s="187">
        <v>150000</v>
      </c>
      <c r="C50" s="187">
        <v>260000</v>
      </c>
      <c r="D50" s="187">
        <v>150000</v>
      </c>
      <c r="E50" s="187"/>
      <c r="F50" s="187">
        <v>150000</v>
      </c>
      <c r="G50" s="187">
        <v>260000</v>
      </c>
      <c r="H50" s="187">
        <v>150000</v>
      </c>
      <c r="I50" s="187"/>
      <c r="J50" s="185"/>
      <c r="K50" s="185"/>
      <c r="L50" s="185"/>
    </row>
    <row r="51" spans="1:12" ht="53.25" customHeight="1" x14ac:dyDescent="0.25">
      <c r="A51" s="186" t="s">
        <v>542</v>
      </c>
      <c r="B51" s="187">
        <v>165500</v>
      </c>
      <c r="C51" s="187">
        <v>154500</v>
      </c>
      <c r="D51" s="187">
        <v>35500</v>
      </c>
      <c r="E51" s="187">
        <v>130000</v>
      </c>
      <c r="F51" s="187">
        <v>250000</v>
      </c>
      <c r="G51" s="187">
        <v>200000</v>
      </c>
      <c r="H51" s="187">
        <f t="shared" ref="H51:H53" si="2">F51-I51</f>
        <v>95000</v>
      </c>
      <c r="I51" s="187">
        <v>155000</v>
      </c>
      <c r="J51" s="185" t="s">
        <v>543</v>
      </c>
      <c r="K51" s="190">
        <v>45627</v>
      </c>
      <c r="L51" s="190"/>
    </row>
    <row r="52" spans="1:12" ht="18" customHeight="1" x14ac:dyDescent="0.25">
      <c r="A52" s="186" t="s">
        <v>544</v>
      </c>
      <c r="B52" s="187">
        <v>280000</v>
      </c>
      <c r="C52" s="187">
        <v>174500</v>
      </c>
      <c r="D52" s="187">
        <v>95000</v>
      </c>
      <c r="E52" s="187">
        <v>185000</v>
      </c>
      <c r="F52" s="187">
        <v>300000</v>
      </c>
      <c r="G52" s="187">
        <v>275000</v>
      </c>
      <c r="H52" s="187">
        <f t="shared" si="2"/>
        <v>80000</v>
      </c>
      <c r="I52" s="187">
        <v>220000</v>
      </c>
      <c r="J52" s="185" t="s">
        <v>532</v>
      </c>
      <c r="K52" s="190">
        <v>45627</v>
      </c>
      <c r="L52" s="190"/>
    </row>
    <row r="53" spans="1:12" ht="20.25" customHeight="1" x14ac:dyDescent="0.25">
      <c r="A53" s="186" t="s">
        <v>545</v>
      </c>
      <c r="B53" s="187">
        <v>300000</v>
      </c>
      <c r="C53" s="187">
        <v>195000</v>
      </c>
      <c r="D53" s="187">
        <v>120000</v>
      </c>
      <c r="E53" s="187">
        <v>180000</v>
      </c>
      <c r="F53" s="187">
        <v>300000</v>
      </c>
      <c r="G53" s="187">
        <v>195000</v>
      </c>
      <c r="H53" s="187">
        <f t="shared" si="2"/>
        <v>120000</v>
      </c>
      <c r="I53" s="187">
        <v>180000</v>
      </c>
      <c r="J53" s="185"/>
      <c r="K53" s="185"/>
      <c r="L53" s="185"/>
    </row>
    <row r="54" spans="1:12" ht="18" customHeight="1" x14ac:dyDescent="0.25">
      <c r="A54" s="186" t="s">
        <v>182</v>
      </c>
      <c r="B54" s="187">
        <v>250000</v>
      </c>
      <c r="C54" s="187">
        <v>145000</v>
      </c>
      <c r="D54" s="187">
        <v>90000</v>
      </c>
      <c r="E54" s="187">
        <v>160000</v>
      </c>
      <c r="F54" s="187">
        <v>250000</v>
      </c>
      <c r="G54" s="187">
        <v>145000</v>
      </c>
      <c r="H54" s="187">
        <v>90000</v>
      </c>
      <c r="I54" s="187">
        <v>160000</v>
      </c>
      <c r="J54" s="185"/>
      <c r="K54" s="185"/>
      <c r="L54" s="185"/>
    </row>
    <row r="55" spans="1:12" ht="15.75" customHeight="1" x14ac:dyDescent="0.25">
      <c r="A55" s="186" t="s">
        <v>185</v>
      </c>
      <c r="B55" s="187">
        <v>350000</v>
      </c>
      <c r="C55" s="187">
        <v>300000</v>
      </c>
      <c r="D55" s="187">
        <v>120000</v>
      </c>
      <c r="E55" s="187">
        <v>230000</v>
      </c>
      <c r="F55" s="187">
        <v>350000</v>
      </c>
      <c r="G55" s="187">
        <v>300000</v>
      </c>
      <c r="H55" s="187">
        <v>120000</v>
      </c>
      <c r="I55" s="187">
        <v>230000</v>
      </c>
      <c r="J55" s="185"/>
      <c r="K55" s="185"/>
      <c r="L55" s="185"/>
    </row>
    <row r="56" spans="1:12" ht="15.75" customHeight="1" x14ac:dyDescent="0.25">
      <c r="A56" s="186" t="s">
        <v>187</v>
      </c>
      <c r="B56" s="187">
        <v>400000</v>
      </c>
      <c r="C56" s="187">
        <v>380000</v>
      </c>
      <c r="D56" s="187">
        <v>110000</v>
      </c>
      <c r="E56" s="187">
        <v>290000</v>
      </c>
      <c r="F56" s="187">
        <v>400000</v>
      </c>
      <c r="G56" s="187">
        <v>380000</v>
      </c>
      <c r="H56" s="187">
        <v>110000</v>
      </c>
      <c r="I56" s="187">
        <v>290000</v>
      </c>
      <c r="J56" s="185"/>
      <c r="K56" s="185"/>
      <c r="L56" s="185"/>
    </row>
    <row r="57" spans="1:12" ht="15.75" customHeight="1" x14ac:dyDescent="0.25">
      <c r="A57" s="186" t="s">
        <v>190</v>
      </c>
      <c r="B57" s="187"/>
      <c r="C57" s="187"/>
      <c r="D57" s="187"/>
      <c r="E57" s="187"/>
      <c r="F57" s="187"/>
      <c r="G57" s="187"/>
      <c r="H57" s="187"/>
      <c r="I57" s="187"/>
      <c r="J57" s="185"/>
      <c r="K57" s="185"/>
      <c r="L57" s="185"/>
    </row>
    <row r="58" spans="1:12" ht="15.75" customHeight="1" x14ac:dyDescent="0.25">
      <c r="A58" s="186" t="s">
        <v>192</v>
      </c>
      <c r="B58" s="187">
        <v>630000</v>
      </c>
      <c r="C58" s="187">
        <v>390000</v>
      </c>
      <c r="D58" s="187">
        <v>170000</v>
      </c>
      <c r="E58" s="187">
        <v>460000</v>
      </c>
      <c r="F58" s="187">
        <v>630000</v>
      </c>
      <c r="G58" s="187">
        <v>390000</v>
      </c>
      <c r="H58" s="187">
        <v>170000</v>
      </c>
      <c r="I58" s="187">
        <v>460000</v>
      </c>
      <c r="J58" s="185"/>
      <c r="K58" s="185"/>
      <c r="L58" s="185"/>
    </row>
    <row r="59" spans="1:12" ht="15.75" customHeight="1" x14ac:dyDescent="0.25">
      <c r="A59" s="186" t="s">
        <v>192</v>
      </c>
      <c r="B59" s="187">
        <v>0</v>
      </c>
      <c r="C59" s="187">
        <v>390000</v>
      </c>
      <c r="D59" s="187">
        <v>0</v>
      </c>
      <c r="E59" s="187">
        <v>0</v>
      </c>
      <c r="F59" s="187">
        <v>0</v>
      </c>
      <c r="G59" s="187">
        <v>390000</v>
      </c>
      <c r="H59" s="187">
        <v>0</v>
      </c>
      <c r="I59" s="187">
        <v>0</v>
      </c>
      <c r="J59" s="185"/>
      <c r="K59" s="185"/>
      <c r="L59" s="185"/>
    </row>
    <row r="60" spans="1:12" ht="15.75" customHeight="1" x14ac:dyDescent="0.25">
      <c r="A60" s="186" t="s">
        <v>194</v>
      </c>
      <c r="B60" s="187">
        <v>590000</v>
      </c>
      <c r="C60" s="187">
        <v>390000</v>
      </c>
      <c r="D60" s="187">
        <v>100000</v>
      </c>
      <c r="E60" s="187">
        <v>490000</v>
      </c>
      <c r="F60" s="187">
        <v>590000</v>
      </c>
      <c r="G60" s="187">
        <v>390000</v>
      </c>
      <c r="H60" s="187">
        <v>100000</v>
      </c>
      <c r="I60" s="187">
        <v>490000</v>
      </c>
      <c r="J60" s="185"/>
      <c r="K60" s="185"/>
      <c r="L60" s="185"/>
    </row>
    <row r="61" spans="1:12" ht="15.75" hidden="1" customHeight="1" x14ac:dyDescent="0.25">
      <c r="A61" s="186" t="s">
        <v>194</v>
      </c>
      <c r="B61" s="187">
        <v>0</v>
      </c>
      <c r="C61" s="187">
        <v>390000</v>
      </c>
      <c r="D61" s="187">
        <v>0</v>
      </c>
      <c r="E61" s="187">
        <v>0</v>
      </c>
      <c r="F61" s="187">
        <v>0</v>
      </c>
      <c r="G61" s="187">
        <v>390000</v>
      </c>
      <c r="H61" s="187">
        <v>0</v>
      </c>
      <c r="I61" s="187">
        <v>0</v>
      </c>
      <c r="J61" s="185"/>
      <c r="K61" s="185"/>
      <c r="L61" s="185"/>
    </row>
    <row r="62" spans="1:12" ht="15.75" hidden="1" customHeight="1" x14ac:dyDescent="0.25">
      <c r="A62" s="186" t="s">
        <v>196</v>
      </c>
      <c r="B62" s="187">
        <v>250000</v>
      </c>
      <c r="C62" s="187">
        <v>180000</v>
      </c>
      <c r="D62" s="187">
        <v>70000</v>
      </c>
      <c r="E62" s="187">
        <v>180000</v>
      </c>
      <c r="F62" s="187">
        <v>250000</v>
      </c>
      <c r="G62" s="187">
        <v>180000</v>
      </c>
      <c r="H62" s="187">
        <v>70000</v>
      </c>
      <c r="I62" s="187">
        <v>180000</v>
      </c>
      <c r="J62" s="185"/>
      <c r="K62" s="185"/>
      <c r="L62" s="185"/>
    </row>
    <row r="63" spans="1:12" ht="20.25" customHeight="1" x14ac:dyDescent="0.25">
      <c r="A63" s="186" t="s">
        <v>198</v>
      </c>
      <c r="B63" s="187">
        <v>0</v>
      </c>
      <c r="C63" s="187">
        <v>250000</v>
      </c>
      <c r="D63" s="187">
        <v>0</v>
      </c>
      <c r="E63" s="187">
        <v>0</v>
      </c>
      <c r="F63" s="187">
        <v>0</v>
      </c>
      <c r="G63" s="187">
        <v>250000</v>
      </c>
      <c r="H63" s="187">
        <v>0</v>
      </c>
      <c r="I63" s="187">
        <v>0</v>
      </c>
      <c r="J63" s="185"/>
      <c r="K63" s="185"/>
      <c r="L63" s="185"/>
    </row>
    <row r="64" spans="1:12" ht="15" customHeight="1" x14ac:dyDescent="0.25">
      <c r="A64" s="186" t="s">
        <v>202</v>
      </c>
      <c r="B64" s="187">
        <v>0</v>
      </c>
      <c r="C64" s="187">
        <v>280000</v>
      </c>
      <c r="D64" s="187">
        <v>0</v>
      </c>
      <c r="E64" s="187">
        <v>0</v>
      </c>
      <c r="F64" s="187">
        <v>0</v>
      </c>
      <c r="G64" s="187">
        <v>280000</v>
      </c>
      <c r="H64" s="187">
        <v>0</v>
      </c>
      <c r="I64" s="187">
        <v>0</v>
      </c>
      <c r="J64" s="185"/>
      <c r="K64" s="185"/>
      <c r="L64" s="185"/>
    </row>
    <row r="65" spans="1:12" ht="20.25" customHeight="1" x14ac:dyDescent="0.25">
      <c r="A65" s="186" t="s">
        <v>204</v>
      </c>
      <c r="B65" s="187">
        <v>0</v>
      </c>
      <c r="C65" s="187">
        <v>1000000</v>
      </c>
      <c r="D65" s="187">
        <v>0</v>
      </c>
      <c r="E65" s="187">
        <v>0</v>
      </c>
      <c r="F65" s="187">
        <v>0</v>
      </c>
      <c r="G65" s="187">
        <v>1000000</v>
      </c>
      <c r="H65" s="187">
        <v>0</v>
      </c>
      <c r="I65" s="187">
        <v>0</v>
      </c>
      <c r="J65" s="185"/>
      <c r="K65" s="185"/>
      <c r="L65" s="185"/>
    </row>
    <row r="66" spans="1:12" ht="15" customHeight="1" x14ac:dyDescent="0.25">
      <c r="A66" s="186" t="s">
        <v>206</v>
      </c>
      <c r="B66" s="187">
        <v>300000</v>
      </c>
      <c r="C66" s="187">
        <v>130000</v>
      </c>
      <c r="D66" s="187">
        <v>140000</v>
      </c>
      <c r="E66" s="187">
        <v>160000</v>
      </c>
      <c r="F66" s="187">
        <v>300000</v>
      </c>
      <c r="G66" s="187">
        <v>130000</v>
      </c>
      <c r="H66" s="187">
        <v>140000</v>
      </c>
      <c r="I66" s="187">
        <v>160000</v>
      </c>
      <c r="J66" s="185"/>
      <c r="K66" s="185"/>
      <c r="L66" s="185"/>
    </row>
    <row r="67" spans="1:12" ht="15.75" customHeight="1" x14ac:dyDescent="0.25">
      <c r="A67" s="186" t="s">
        <v>209</v>
      </c>
      <c r="B67" s="187">
        <v>350000</v>
      </c>
      <c r="C67" s="187">
        <v>130000</v>
      </c>
      <c r="D67" s="187">
        <v>215000</v>
      </c>
      <c r="E67" s="187">
        <v>135000</v>
      </c>
      <c r="F67" s="187">
        <v>350000</v>
      </c>
      <c r="G67" s="187">
        <v>130000</v>
      </c>
      <c r="H67" s="187">
        <v>215000</v>
      </c>
      <c r="I67" s="187">
        <v>135000</v>
      </c>
      <c r="J67" s="185"/>
      <c r="K67" s="185"/>
      <c r="L67" s="185"/>
    </row>
    <row r="68" spans="1:12" ht="15" customHeight="1" x14ac:dyDescent="0.25">
      <c r="A68" s="186" t="s">
        <v>213</v>
      </c>
      <c r="B68" s="187">
        <v>210000</v>
      </c>
      <c r="C68" s="187">
        <v>110000</v>
      </c>
      <c r="D68" s="187">
        <v>110000</v>
      </c>
      <c r="E68" s="187">
        <v>100000</v>
      </c>
      <c r="F68" s="187">
        <v>210000</v>
      </c>
      <c r="G68" s="187">
        <v>110000</v>
      </c>
      <c r="H68" s="187">
        <v>110000</v>
      </c>
      <c r="I68" s="187">
        <v>100000</v>
      </c>
      <c r="J68" s="185"/>
      <c r="K68" s="185"/>
      <c r="L68" s="185"/>
    </row>
    <row r="69" spans="1:12" ht="19.5" customHeight="1" x14ac:dyDescent="0.25">
      <c r="A69" s="186" t="s">
        <v>215</v>
      </c>
      <c r="B69" s="187">
        <v>360000</v>
      </c>
      <c r="C69" s="187">
        <v>300000</v>
      </c>
      <c r="D69" s="187">
        <v>130000</v>
      </c>
      <c r="E69" s="187">
        <v>230000</v>
      </c>
      <c r="F69" s="187">
        <v>390000</v>
      </c>
      <c r="G69" s="187">
        <v>300000</v>
      </c>
      <c r="H69" s="187">
        <f>F69-I69</f>
        <v>120000</v>
      </c>
      <c r="I69" s="187">
        <v>270000</v>
      </c>
      <c r="J69" s="185" t="s">
        <v>532</v>
      </c>
      <c r="K69" s="185"/>
      <c r="L69" s="185"/>
    </row>
    <row r="70" spans="1:12" ht="19.5" customHeight="1" x14ac:dyDescent="0.25">
      <c r="A70" s="186" t="s">
        <v>217</v>
      </c>
      <c r="B70" s="187">
        <v>200000</v>
      </c>
      <c r="C70" s="187">
        <v>94500</v>
      </c>
      <c r="D70" s="187">
        <v>100000</v>
      </c>
      <c r="E70" s="187">
        <v>100000</v>
      </c>
      <c r="F70" s="187">
        <v>200000</v>
      </c>
      <c r="G70" s="187">
        <v>94500</v>
      </c>
      <c r="H70" s="187">
        <v>100000</v>
      </c>
      <c r="I70" s="187">
        <v>100000</v>
      </c>
      <c r="J70" s="185"/>
      <c r="K70" s="185"/>
      <c r="L70" s="185"/>
    </row>
    <row r="71" spans="1:12" ht="17.25" customHeight="1" x14ac:dyDescent="0.25">
      <c r="A71" s="186" t="s">
        <v>219</v>
      </c>
      <c r="B71" s="187">
        <v>150000</v>
      </c>
      <c r="C71" s="187">
        <v>94500</v>
      </c>
      <c r="D71" s="187">
        <v>90000</v>
      </c>
      <c r="E71" s="187">
        <v>60000</v>
      </c>
      <c r="F71" s="187">
        <v>150000</v>
      </c>
      <c r="G71" s="187">
        <v>94500</v>
      </c>
      <c r="H71" s="187">
        <v>90000</v>
      </c>
      <c r="I71" s="187">
        <v>60000</v>
      </c>
      <c r="J71" s="185"/>
      <c r="K71" s="185"/>
      <c r="L71" s="185"/>
    </row>
    <row r="72" spans="1:12" ht="15.75" customHeight="1" x14ac:dyDescent="0.25">
      <c r="A72" s="186" t="s">
        <v>221</v>
      </c>
      <c r="B72" s="187">
        <v>250000</v>
      </c>
      <c r="C72" s="187">
        <v>300000</v>
      </c>
      <c r="D72" s="187">
        <v>50000</v>
      </c>
      <c r="E72" s="187">
        <v>200000</v>
      </c>
      <c r="F72" s="187">
        <v>250000</v>
      </c>
      <c r="G72" s="187">
        <v>300000</v>
      </c>
      <c r="H72" s="187">
        <v>50000</v>
      </c>
      <c r="I72" s="187">
        <v>200000</v>
      </c>
      <c r="J72" s="185"/>
      <c r="K72" s="185"/>
      <c r="L72" s="185"/>
    </row>
    <row r="73" spans="1:12" ht="14.25" customHeight="1" x14ac:dyDescent="0.25">
      <c r="A73" s="186" t="s">
        <v>223</v>
      </c>
      <c r="B73" s="187">
        <v>0</v>
      </c>
      <c r="C73" s="187">
        <v>300000</v>
      </c>
      <c r="D73" s="187">
        <v>-250000</v>
      </c>
      <c r="E73" s="187">
        <v>250000</v>
      </c>
      <c r="F73" s="187">
        <v>0</v>
      </c>
      <c r="G73" s="187">
        <v>300000</v>
      </c>
      <c r="H73" s="187">
        <v>-250000</v>
      </c>
      <c r="I73" s="187">
        <v>250000</v>
      </c>
      <c r="J73" s="185"/>
      <c r="K73" s="185"/>
      <c r="L73" s="185"/>
    </row>
    <row r="74" spans="1:12" ht="15.75" customHeight="1" x14ac:dyDescent="0.25">
      <c r="A74" s="186" t="s">
        <v>10</v>
      </c>
      <c r="B74" s="187">
        <v>420000</v>
      </c>
      <c r="C74" s="187">
        <v>310000</v>
      </c>
      <c r="D74" s="187">
        <v>110000</v>
      </c>
      <c r="E74" s="187">
        <v>310000</v>
      </c>
      <c r="F74" s="187">
        <v>420000</v>
      </c>
      <c r="G74" s="187">
        <v>310000</v>
      </c>
      <c r="H74" s="187">
        <v>110000</v>
      </c>
      <c r="I74" s="187">
        <v>310000</v>
      </c>
      <c r="J74" s="185"/>
      <c r="K74" s="185"/>
      <c r="L74" s="185"/>
    </row>
    <row r="75" spans="1:12" ht="15.75" customHeight="1" x14ac:dyDescent="0.25">
      <c r="A75" s="186" t="s">
        <v>228</v>
      </c>
      <c r="B75" s="187">
        <v>350000</v>
      </c>
      <c r="C75" s="187">
        <v>190000</v>
      </c>
      <c r="D75" s="187">
        <v>140000</v>
      </c>
      <c r="E75" s="187">
        <v>210000</v>
      </c>
      <c r="F75" s="187">
        <v>350000</v>
      </c>
      <c r="G75" s="187">
        <v>190000</v>
      </c>
      <c r="H75" s="187">
        <v>140000</v>
      </c>
      <c r="I75" s="187">
        <v>210000</v>
      </c>
      <c r="J75" s="185"/>
      <c r="K75" s="185"/>
      <c r="L75" s="185"/>
    </row>
    <row r="76" spans="1:12" ht="15" customHeight="1" x14ac:dyDescent="0.25">
      <c r="A76" s="186" t="s">
        <v>546</v>
      </c>
      <c r="B76" s="187">
        <v>1000000</v>
      </c>
      <c r="C76" s="187">
        <v>174500</v>
      </c>
      <c r="D76" s="187">
        <v>1000000</v>
      </c>
      <c r="E76" s="187">
        <v>0</v>
      </c>
      <c r="F76" s="187">
        <v>1000000</v>
      </c>
      <c r="G76" s="187">
        <v>174500</v>
      </c>
      <c r="H76" s="187">
        <v>1000000</v>
      </c>
      <c r="I76" s="187">
        <v>0</v>
      </c>
      <c r="J76" s="185"/>
      <c r="K76" s="185"/>
      <c r="L76" s="185"/>
    </row>
    <row r="77" spans="1:12" ht="15.75" customHeight="1" x14ac:dyDescent="0.25">
      <c r="A77" s="186" t="s">
        <v>547</v>
      </c>
      <c r="B77" s="187">
        <v>0</v>
      </c>
      <c r="C77" s="187">
        <v>0</v>
      </c>
      <c r="D77" s="187">
        <v>0</v>
      </c>
      <c r="E77" s="187">
        <v>0</v>
      </c>
      <c r="F77" s="187">
        <v>0</v>
      </c>
      <c r="G77" s="187">
        <v>0</v>
      </c>
      <c r="H77" s="187">
        <v>0</v>
      </c>
      <c r="I77" s="187">
        <v>0</v>
      </c>
      <c r="J77" s="185"/>
      <c r="K77" s="185"/>
      <c r="L77" s="185"/>
    </row>
    <row r="78" spans="1:12" ht="15.75" customHeight="1" x14ac:dyDescent="0.25">
      <c r="A78" s="186" t="s">
        <v>230</v>
      </c>
      <c r="B78" s="187">
        <v>400000</v>
      </c>
      <c r="C78" s="187">
        <v>310000</v>
      </c>
      <c r="D78" s="187">
        <v>150000</v>
      </c>
      <c r="E78" s="187">
        <v>250000</v>
      </c>
      <c r="F78" s="187">
        <v>400000</v>
      </c>
      <c r="G78" s="187">
        <v>310000</v>
      </c>
      <c r="H78" s="187">
        <v>150000</v>
      </c>
      <c r="I78" s="187">
        <v>250000</v>
      </c>
      <c r="J78" s="185"/>
      <c r="K78" s="185"/>
      <c r="L78" s="185"/>
    </row>
    <row r="79" spans="1:12" ht="15.75" customHeight="1" x14ac:dyDescent="0.25">
      <c r="A79" s="186" t="s">
        <v>548</v>
      </c>
      <c r="B79" s="187">
        <v>460000</v>
      </c>
      <c r="C79" s="187">
        <v>270000</v>
      </c>
      <c r="D79" s="187">
        <v>130000</v>
      </c>
      <c r="E79" s="187">
        <v>330000</v>
      </c>
      <c r="F79" s="187">
        <v>460000</v>
      </c>
      <c r="G79" s="187">
        <v>270000</v>
      </c>
      <c r="H79" s="187">
        <v>130000</v>
      </c>
      <c r="I79" s="187">
        <v>330000</v>
      </c>
      <c r="J79" s="185"/>
      <c r="K79" s="185"/>
      <c r="L79" s="185"/>
    </row>
    <row r="80" spans="1:12" ht="24" customHeight="1" x14ac:dyDescent="0.25">
      <c r="A80" s="186" t="s">
        <v>233</v>
      </c>
      <c r="B80" s="187">
        <v>270000</v>
      </c>
      <c r="C80" s="187">
        <v>310000</v>
      </c>
      <c r="D80" s="187">
        <v>90000</v>
      </c>
      <c r="E80" s="187">
        <v>180000</v>
      </c>
      <c r="F80" s="187">
        <v>270000</v>
      </c>
      <c r="G80" s="187">
        <v>310000</v>
      </c>
      <c r="H80" s="187">
        <v>90000</v>
      </c>
      <c r="I80" s="187">
        <v>180000</v>
      </c>
      <c r="J80" s="185"/>
      <c r="K80" s="185"/>
      <c r="L80" s="185"/>
    </row>
    <row r="81" spans="1:12" ht="18" customHeight="1" x14ac:dyDescent="0.25">
      <c r="A81" s="186" t="s">
        <v>549</v>
      </c>
      <c r="B81" s="187">
        <v>340000</v>
      </c>
      <c r="C81" s="187">
        <v>270000</v>
      </c>
      <c r="D81" s="187">
        <v>100000</v>
      </c>
      <c r="E81" s="187">
        <v>240000</v>
      </c>
      <c r="F81" s="187">
        <v>340000</v>
      </c>
      <c r="G81" s="187">
        <v>270000</v>
      </c>
      <c r="H81" s="187">
        <v>100000</v>
      </c>
      <c r="I81" s="187">
        <v>240000</v>
      </c>
      <c r="J81" s="185"/>
      <c r="K81" s="185"/>
      <c r="L81" s="185"/>
    </row>
    <row r="82" spans="1:12" ht="18" customHeight="1" x14ac:dyDescent="0.25">
      <c r="A82" s="186" t="s">
        <v>235</v>
      </c>
      <c r="B82" s="187">
        <v>490000</v>
      </c>
      <c r="C82" s="187">
        <v>300000</v>
      </c>
      <c r="D82" s="187">
        <v>160000</v>
      </c>
      <c r="E82" s="187">
        <v>330000</v>
      </c>
      <c r="F82" s="187">
        <v>490000</v>
      </c>
      <c r="G82" s="187">
        <v>300000</v>
      </c>
      <c r="H82" s="187">
        <v>160000</v>
      </c>
      <c r="I82" s="187">
        <v>330000</v>
      </c>
      <c r="J82" s="185"/>
      <c r="K82" s="185"/>
      <c r="L82" s="185"/>
    </row>
    <row r="83" spans="1:12" ht="18" customHeight="1" x14ac:dyDescent="0.25">
      <c r="A83" s="186" t="s">
        <v>238</v>
      </c>
      <c r="B83" s="187">
        <v>380000</v>
      </c>
      <c r="C83" s="187">
        <v>260000</v>
      </c>
      <c r="D83" s="187">
        <v>90000</v>
      </c>
      <c r="E83" s="187">
        <v>290000</v>
      </c>
      <c r="F83" s="187">
        <v>380000</v>
      </c>
      <c r="G83" s="187">
        <v>260000</v>
      </c>
      <c r="H83" s="187">
        <v>90000</v>
      </c>
      <c r="I83" s="187">
        <v>290000</v>
      </c>
      <c r="J83" s="185" t="s">
        <v>532</v>
      </c>
      <c r="K83" s="185"/>
      <c r="L83" s="185"/>
    </row>
    <row r="84" spans="1:12" ht="15.75" customHeight="1" x14ac:dyDescent="0.25">
      <c r="A84" s="186" t="s">
        <v>240</v>
      </c>
      <c r="B84" s="187">
        <v>380000</v>
      </c>
      <c r="C84" s="187">
        <v>260000</v>
      </c>
      <c r="D84" s="187">
        <v>90000</v>
      </c>
      <c r="E84" s="187">
        <v>290000</v>
      </c>
      <c r="F84" s="187">
        <v>380000</v>
      </c>
      <c r="G84" s="187">
        <v>260000</v>
      </c>
      <c r="H84" s="187">
        <v>90000</v>
      </c>
      <c r="I84" s="187">
        <v>290000</v>
      </c>
      <c r="J84" s="185"/>
      <c r="K84" s="185"/>
      <c r="L84" s="185"/>
    </row>
    <row r="85" spans="1:12" ht="18" customHeight="1" x14ac:dyDescent="0.25">
      <c r="A85" s="186" t="s">
        <v>243</v>
      </c>
      <c r="B85" s="187">
        <v>350000</v>
      </c>
      <c r="C85" s="187">
        <v>300000</v>
      </c>
      <c r="D85" s="187">
        <v>130000</v>
      </c>
      <c r="E85" s="187">
        <v>220000</v>
      </c>
      <c r="F85" s="187">
        <v>250000</v>
      </c>
      <c r="G85" s="187">
        <v>300000</v>
      </c>
      <c r="H85" s="187">
        <f>F85-I85</f>
        <v>41000</v>
      </c>
      <c r="I85" s="187">
        <v>209000</v>
      </c>
      <c r="J85" s="185" t="s">
        <v>543</v>
      </c>
      <c r="K85" s="190"/>
      <c r="L85" s="190"/>
    </row>
    <row r="86" spans="1:12" ht="15.75" customHeight="1" x14ac:dyDescent="0.25">
      <c r="A86" s="186" t="s">
        <v>550</v>
      </c>
      <c r="B86" s="187">
        <v>250000</v>
      </c>
      <c r="C86" s="187">
        <v>300000</v>
      </c>
      <c r="D86" s="187">
        <v>150000</v>
      </c>
      <c r="E86" s="187">
        <v>100000</v>
      </c>
      <c r="F86" s="187">
        <v>250000</v>
      </c>
      <c r="G86" s="187">
        <v>300000</v>
      </c>
      <c r="H86" s="187">
        <v>150000</v>
      </c>
      <c r="I86" s="187">
        <v>100000</v>
      </c>
      <c r="J86" s="185"/>
      <c r="K86" s="185"/>
      <c r="L86" s="185"/>
    </row>
    <row r="87" spans="1:12" ht="15.75" customHeight="1" x14ac:dyDescent="0.25">
      <c r="A87" s="186" t="s">
        <v>551</v>
      </c>
      <c r="B87" s="187">
        <v>430000</v>
      </c>
      <c r="C87" s="187">
        <v>300000</v>
      </c>
      <c r="D87" s="187">
        <v>100000</v>
      </c>
      <c r="E87" s="187">
        <v>330000</v>
      </c>
      <c r="F87" s="187">
        <v>430000</v>
      </c>
      <c r="G87" s="187">
        <v>300000</v>
      </c>
      <c r="H87" s="187">
        <v>100000</v>
      </c>
      <c r="I87" s="187">
        <v>330000</v>
      </c>
      <c r="J87" s="185"/>
      <c r="K87" s="185"/>
      <c r="L87" s="185"/>
    </row>
    <row r="88" spans="1:12" ht="15.75" customHeight="1" x14ac:dyDescent="0.25">
      <c r="A88" s="186" t="s">
        <v>245</v>
      </c>
      <c r="B88" s="187">
        <v>420000</v>
      </c>
      <c r="C88" s="187">
        <v>300000</v>
      </c>
      <c r="D88" s="187">
        <v>160000</v>
      </c>
      <c r="E88" s="187">
        <v>260000</v>
      </c>
      <c r="F88" s="187">
        <v>420000</v>
      </c>
      <c r="G88" s="187">
        <v>300000</v>
      </c>
      <c r="H88" s="187">
        <v>160000</v>
      </c>
      <c r="I88" s="187">
        <v>260000</v>
      </c>
      <c r="J88" s="185"/>
      <c r="K88" s="185"/>
      <c r="L88" s="185"/>
    </row>
    <row r="89" spans="1:12" ht="15" customHeight="1" x14ac:dyDescent="0.25">
      <c r="A89" s="186" t="s">
        <v>248</v>
      </c>
      <c r="B89" s="187">
        <v>330000</v>
      </c>
      <c r="C89" s="187">
        <v>260000</v>
      </c>
      <c r="D89" s="187">
        <v>200000</v>
      </c>
      <c r="E89" s="187">
        <v>130000</v>
      </c>
      <c r="F89" s="187">
        <v>330000</v>
      </c>
      <c r="G89" s="187">
        <v>260000</v>
      </c>
      <c r="H89" s="187">
        <v>200000</v>
      </c>
      <c r="I89" s="187">
        <v>130000</v>
      </c>
      <c r="J89" s="185"/>
      <c r="K89" s="185"/>
      <c r="L89" s="185"/>
    </row>
    <row r="90" spans="1:12" ht="15" customHeight="1" x14ac:dyDescent="0.25">
      <c r="A90" s="186" t="s">
        <v>250</v>
      </c>
      <c r="B90" s="187">
        <v>500000</v>
      </c>
      <c r="C90" s="187">
        <v>260000</v>
      </c>
      <c r="D90" s="187">
        <v>240000</v>
      </c>
      <c r="E90" s="187">
        <v>260000</v>
      </c>
      <c r="F90" s="187">
        <v>500000</v>
      </c>
      <c r="G90" s="187">
        <v>260000</v>
      </c>
      <c r="H90" s="187">
        <v>240000</v>
      </c>
      <c r="I90" s="187">
        <v>260000</v>
      </c>
      <c r="J90" s="185"/>
      <c r="K90" s="185"/>
      <c r="L90" s="185"/>
    </row>
    <row r="91" spans="1:12" ht="15.75" customHeight="1" x14ac:dyDescent="0.25">
      <c r="A91" s="186" t="s">
        <v>253</v>
      </c>
      <c r="B91" s="187">
        <v>330000</v>
      </c>
      <c r="C91" s="187">
        <v>260000</v>
      </c>
      <c r="D91" s="187">
        <v>330000</v>
      </c>
      <c r="E91" s="187">
        <v>0</v>
      </c>
      <c r="F91" s="187">
        <v>330000</v>
      </c>
      <c r="G91" s="187">
        <v>260000</v>
      </c>
      <c r="H91" s="187">
        <v>330000</v>
      </c>
      <c r="I91" s="187">
        <v>0</v>
      </c>
      <c r="J91" s="185"/>
      <c r="K91" s="185"/>
      <c r="L91" s="185"/>
    </row>
    <row r="92" spans="1:12" ht="15.75" customHeight="1" x14ac:dyDescent="0.25">
      <c r="A92" s="186" t="s">
        <v>256</v>
      </c>
      <c r="B92" s="187">
        <v>0</v>
      </c>
      <c r="C92" s="187">
        <v>260000</v>
      </c>
      <c r="D92" s="187">
        <v>0</v>
      </c>
      <c r="E92" s="187">
        <v>0</v>
      </c>
      <c r="F92" s="187">
        <v>0</v>
      </c>
      <c r="G92" s="187">
        <v>260000</v>
      </c>
      <c r="H92" s="187">
        <v>0</v>
      </c>
      <c r="I92" s="187">
        <v>0</v>
      </c>
      <c r="J92" s="185"/>
      <c r="K92" s="185"/>
      <c r="L92" s="185"/>
    </row>
    <row r="93" spans="1:12" ht="14.25" customHeight="1" x14ac:dyDescent="0.25">
      <c r="A93" s="186" t="s">
        <v>258</v>
      </c>
      <c r="B93" s="187">
        <v>0</v>
      </c>
      <c r="C93" s="187">
        <v>260000</v>
      </c>
      <c r="D93" s="187">
        <v>0</v>
      </c>
      <c r="E93" s="187">
        <v>0</v>
      </c>
      <c r="F93" s="187">
        <v>0</v>
      </c>
      <c r="G93" s="187">
        <v>260000</v>
      </c>
      <c r="H93" s="187">
        <v>0</v>
      </c>
      <c r="I93" s="187">
        <v>0</v>
      </c>
      <c r="J93" s="185"/>
      <c r="K93" s="185"/>
      <c r="L93" s="185"/>
    </row>
    <row r="94" spans="1:12" ht="30.75" hidden="1" customHeight="1" x14ac:dyDescent="0.25">
      <c r="A94" s="186" t="s">
        <v>260</v>
      </c>
      <c r="B94" s="187">
        <v>350000</v>
      </c>
      <c r="C94" s="187">
        <v>260000</v>
      </c>
      <c r="D94" s="187">
        <v>145000</v>
      </c>
      <c r="E94" s="187">
        <v>205000</v>
      </c>
      <c r="F94" s="187">
        <v>350000</v>
      </c>
      <c r="G94" s="187">
        <v>260000</v>
      </c>
      <c r="H94" s="187">
        <v>145000</v>
      </c>
      <c r="I94" s="187">
        <v>205000</v>
      </c>
      <c r="J94" s="185"/>
      <c r="K94" s="185"/>
      <c r="L94" s="185"/>
    </row>
    <row r="95" spans="1:12" ht="15.75" hidden="1" customHeight="1" x14ac:dyDescent="0.25">
      <c r="A95" s="186" t="s">
        <v>262</v>
      </c>
      <c r="B95" s="187">
        <v>1100000</v>
      </c>
      <c r="C95" s="187">
        <v>60000</v>
      </c>
      <c r="D95" s="187">
        <v>1100000</v>
      </c>
      <c r="E95" s="187">
        <v>0</v>
      </c>
      <c r="F95" s="187">
        <v>1100000</v>
      </c>
      <c r="G95" s="187">
        <v>60000</v>
      </c>
      <c r="H95" s="187">
        <v>1100000</v>
      </c>
      <c r="I95" s="187">
        <v>0</v>
      </c>
      <c r="J95" s="185"/>
      <c r="K95" s="185"/>
      <c r="L95" s="185"/>
    </row>
    <row r="96" spans="1:12" ht="15.75" customHeight="1" x14ac:dyDescent="0.25">
      <c r="A96" s="186" t="s">
        <v>264</v>
      </c>
      <c r="B96" s="187">
        <v>700000</v>
      </c>
      <c r="C96" s="187">
        <v>0</v>
      </c>
      <c r="D96" s="187">
        <v>700000</v>
      </c>
      <c r="E96" s="187">
        <v>0</v>
      </c>
      <c r="F96" s="187">
        <v>700000</v>
      </c>
      <c r="G96" s="187">
        <v>0</v>
      </c>
      <c r="H96" s="187">
        <v>700000</v>
      </c>
      <c r="I96" s="187">
        <v>0</v>
      </c>
      <c r="J96" s="185"/>
      <c r="K96" s="185"/>
      <c r="L96" s="185"/>
    </row>
    <row r="97" spans="1:12" ht="15" customHeight="1" x14ac:dyDescent="0.25">
      <c r="A97" s="186" t="s">
        <v>552</v>
      </c>
      <c r="B97" s="187">
        <v>420000</v>
      </c>
      <c r="C97" s="187">
        <v>430000</v>
      </c>
      <c r="D97" s="187">
        <v>140000</v>
      </c>
      <c r="E97" s="187">
        <v>280000</v>
      </c>
      <c r="F97" s="187">
        <v>420000</v>
      </c>
      <c r="G97" s="187">
        <v>430000</v>
      </c>
      <c r="H97" s="187">
        <v>140000</v>
      </c>
      <c r="I97" s="187">
        <v>280000</v>
      </c>
      <c r="J97" s="185"/>
      <c r="K97" s="185"/>
      <c r="L97" s="185"/>
    </row>
    <row r="98" spans="1:12" ht="15" customHeight="1" x14ac:dyDescent="0.25">
      <c r="A98" s="186" t="s">
        <v>553</v>
      </c>
      <c r="B98" s="187">
        <v>360000</v>
      </c>
      <c r="C98" s="187">
        <v>430000</v>
      </c>
      <c r="D98" s="187">
        <v>150000</v>
      </c>
      <c r="E98" s="187">
        <v>210000</v>
      </c>
      <c r="F98" s="187">
        <v>360000</v>
      </c>
      <c r="G98" s="187">
        <v>430000</v>
      </c>
      <c r="H98" s="187">
        <v>150000</v>
      </c>
      <c r="I98" s="187">
        <v>210000</v>
      </c>
      <c r="J98" s="185"/>
      <c r="K98" s="185"/>
      <c r="L98" s="185"/>
    </row>
    <row r="99" spans="1:12" ht="15.75" customHeight="1" x14ac:dyDescent="0.25">
      <c r="A99" s="186" t="s">
        <v>554</v>
      </c>
      <c r="B99" s="187"/>
      <c r="C99" s="187"/>
      <c r="D99" s="187"/>
      <c r="E99" s="187"/>
      <c r="F99" s="187"/>
      <c r="G99" s="187"/>
      <c r="H99" s="187"/>
      <c r="I99" s="187"/>
      <c r="J99" s="185" t="s">
        <v>555</v>
      </c>
      <c r="K99" s="185"/>
      <c r="L99" s="185"/>
    </row>
    <row r="100" spans="1:12" ht="15.75" customHeight="1" x14ac:dyDescent="0.25">
      <c r="A100" s="186" t="s">
        <v>556</v>
      </c>
      <c r="B100" s="187">
        <v>100000</v>
      </c>
      <c r="C100" s="187">
        <v>84500</v>
      </c>
      <c r="D100" s="187">
        <v>55000</v>
      </c>
      <c r="E100" s="187">
        <v>45000</v>
      </c>
      <c r="F100" s="187">
        <v>100000</v>
      </c>
      <c r="G100" s="187">
        <v>84500</v>
      </c>
      <c r="H100" s="187">
        <v>55000</v>
      </c>
      <c r="I100" s="187">
        <v>45000</v>
      </c>
      <c r="J100" s="185" t="s">
        <v>555</v>
      </c>
      <c r="K100" s="185"/>
      <c r="L100" s="185"/>
    </row>
    <row r="101" spans="1:12" ht="15.75" customHeight="1" x14ac:dyDescent="0.25">
      <c r="A101" s="186" t="s">
        <v>557</v>
      </c>
      <c r="B101" s="187">
        <v>180000</v>
      </c>
      <c r="C101" s="187">
        <v>94500</v>
      </c>
      <c r="D101" s="187">
        <v>80000</v>
      </c>
      <c r="E101" s="187">
        <v>110000</v>
      </c>
      <c r="F101" s="187">
        <v>230000</v>
      </c>
      <c r="G101" s="187">
        <v>94500</v>
      </c>
      <c r="H101" s="187">
        <f t="shared" ref="H101:H102" si="3">F101-I101</f>
        <v>90000</v>
      </c>
      <c r="I101" s="187">
        <v>140000</v>
      </c>
      <c r="J101" s="185" t="s">
        <v>532</v>
      </c>
      <c r="K101" s="190">
        <v>45627</v>
      </c>
      <c r="L101" s="190"/>
    </row>
    <row r="102" spans="1:12" ht="14.25" customHeight="1" x14ac:dyDescent="0.25">
      <c r="A102" s="186" t="s">
        <v>558</v>
      </c>
      <c r="B102" s="187">
        <v>100000</v>
      </c>
      <c r="C102" s="187">
        <v>94500</v>
      </c>
      <c r="D102" s="187">
        <v>50000</v>
      </c>
      <c r="E102" s="187">
        <v>55000</v>
      </c>
      <c r="F102" s="187">
        <v>150000</v>
      </c>
      <c r="G102" s="187">
        <v>94500</v>
      </c>
      <c r="H102" s="187">
        <f t="shared" si="3"/>
        <v>80000</v>
      </c>
      <c r="I102" s="187">
        <v>70000</v>
      </c>
      <c r="J102" s="185" t="s">
        <v>532</v>
      </c>
      <c r="K102" s="190">
        <v>45627</v>
      </c>
      <c r="L102" s="190"/>
    </row>
    <row r="103" spans="1:12" ht="15.75" customHeight="1" x14ac:dyDescent="0.25">
      <c r="A103" s="186" t="s">
        <v>272</v>
      </c>
      <c r="B103" s="187">
        <v>400000</v>
      </c>
      <c r="C103" s="187">
        <v>300000</v>
      </c>
      <c r="D103" s="187">
        <v>120000</v>
      </c>
      <c r="E103" s="187">
        <v>280000</v>
      </c>
      <c r="F103" s="187">
        <v>400000</v>
      </c>
      <c r="G103" s="187">
        <v>300000</v>
      </c>
      <c r="H103" s="187">
        <v>120000</v>
      </c>
      <c r="I103" s="187">
        <v>280000</v>
      </c>
      <c r="J103" s="185"/>
      <c r="K103" s="185"/>
      <c r="L103" s="185"/>
    </row>
    <row r="104" spans="1:12" ht="15.75" customHeight="1" x14ac:dyDescent="0.25">
      <c r="A104" s="186" t="s">
        <v>559</v>
      </c>
      <c r="B104" s="187">
        <v>240000</v>
      </c>
      <c r="C104" s="187">
        <v>200000</v>
      </c>
      <c r="D104" s="187">
        <v>90000</v>
      </c>
      <c r="E104" s="187">
        <v>150000</v>
      </c>
      <c r="F104" s="187">
        <v>240000</v>
      </c>
      <c r="G104" s="187">
        <v>200000</v>
      </c>
      <c r="H104" s="187">
        <v>90000</v>
      </c>
      <c r="I104" s="187">
        <v>150000</v>
      </c>
      <c r="J104" s="185"/>
      <c r="K104" s="185"/>
      <c r="L104" s="185"/>
    </row>
    <row r="105" spans="1:12" ht="15.75" hidden="1" customHeight="1" x14ac:dyDescent="0.25">
      <c r="A105" s="186" t="s">
        <v>275</v>
      </c>
      <c r="B105" s="187">
        <v>160000</v>
      </c>
      <c r="C105" s="187">
        <v>0</v>
      </c>
      <c r="D105" s="187">
        <v>160000</v>
      </c>
      <c r="E105" s="187">
        <v>0</v>
      </c>
      <c r="F105" s="187">
        <v>160000</v>
      </c>
      <c r="G105" s="187">
        <v>0</v>
      </c>
      <c r="H105" s="187">
        <v>160000</v>
      </c>
      <c r="I105" s="187">
        <v>0</v>
      </c>
      <c r="J105" s="185"/>
      <c r="K105" s="185"/>
      <c r="L105" s="185"/>
    </row>
    <row r="106" spans="1:12" ht="21" hidden="1" customHeight="1" x14ac:dyDescent="0.25">
      <c r="A106" s="186" t="s">
        <v>278</v>
      </c>
      <c r="B106" s="187">
        <v>160000</v>
      </c>
      <c r="C106" s="187">
        <v>0</v>
      </c>
      <c r="D106" s="187">
        <v>0</v>
      </c>
      <c r="E106" s="187">
        <v>0</v>
      </c>
      <c r="F106" s="187">
        <v>160000</v>
      </c>
      <c r="G106" s="187">
        <v>0</v>
      </c>
      <c r="H106" s="187">
        <v>0</v>
      </c>
      <c r="I106" s="187">
        <v>0</v>
      </c>
      <c r="J106" s="185"/>
      <c r="K106" s="185"/>
      <c r="L106" s="185"/>
    </row>
    <row r="107" spans="1:12" ht="15.75" hidden="1" customHeight="1" x14ac:dyDescent="0.25">
      <c r="A107" s="186" t="s">
        <v>281</v>
      </c>
      <c r="B107" s="187">
        <v>1850000</v>
      </c>
      <c r="C107" s="187">
        <v>300000</v>
      </c>
      <c r="D107" s="187">
        <v>725000</v>
      </c>
      <c r="E107" s="187">
        <v>1125000</v>
      </c>
      <c r="F107" s="187">
        <v>1850000</v>
      </c>
      <c r="G107" s="187">
        <v>300000</v>
      </c>
      <c r="H107" s="187">
        <v>725000</v>
      </c>
      <c r="I107" s="187">
        <v>1125000</v>
      </c>
      <c r="J107" s="185"/>
      <c r="K107" s="185"/>
      <c r="L107" s="185"/>
    </row>
    <row r="108" spans="1:12" ht="15.75" hidden="1" customHeight="1" x14ac:dyDescent="0.25">
      <c r="A108" s="186" t="s">
        <v>285</v>
      </c>
      <c r="B108" s="187">
        <v>200000</v>
      </c>
      <c r="C108" s="187">
        <v>140000</v>
      </c>
      <c r="D108" s="187">
        <v>100000</v>
      </c>
      <c r="E108" s="187">
        <v>100000</v>
      </c>
      <c r="F108" s="187">
        <v>200000</v>
      </c>
      <c r="G108" s="187">
        <v>140000</v>
      </c>
      <c r="H108" s="187">
        <v>100000</v>
      </c>
      <c r="I108" s="187">
        <v>100000</v>
      </c>
      <c r="J108" s="185"/>
      <c r="K108" s="185"/>
      <c r="L108" s="185"/>
    </row>
    <row r="109" spans="1:12" ht="16.5" hidden="1" customHeight="1" x14ac:dyDescent="0.25">
      <c r="A109" s="186" t="s">
        <v>288</v>
      </c>
      <c r="B109" s="187">
        <v>440000</v>
      </c>
      <c r="C109" s="187">
        <v>375000</v>
      </c>
      <c r="D109" s="187">
        <v>65000</v>
      </c>
      <c r="E109" s="187">
        <v>375000</v>
      </c>
      <c r="F109" s="187">
        <v>440000</v>
      </c>
      <c r="G109" s="187">
        <v>375000</v>
      </c>
      <c r="H109" s="187">
        <v>65000</v>
      </c>
      <c r="I109" s="187">
        <v>375000</v>
      </c>
      <c r="J109" s="185"/>
      <c r="K109" s="185"/>
      <c r="L109" s="185"/>
    </row>
    <row r="110" spans="1:12" ht="22.5" hidden="1" customHeight="1" x14ac:dyDescent="0.25">
      <c r="A110" s="186" t="s">
        <v>291</v>
      </c>
      <c r="B110" s="187">
        <v>360000</v>
      </c>
      <c r="C110" s="187">
        <v>375000</v>
      </c>
      <c r="D110" s="187">
        <v>172500</v>
      </c>
      <c r="E110" s="187">
        <v>187500</v>
      </c>
      <c r="F110" s="187">
        <v>360000</v>
      </c>
      <c r="G110" s="187">
        <v>375000</v>
      </c>
      <c r="H110" s="187">
        <v>172500</v>
      </c>
      <c r="I110" s="187">
        <v>187500</v>
      </c>
      <c r="J110" s="185"/>
      <c r="K110" s="185"/>
      <c r="L110" s="185"/>
    </row>
    <row r="111" spans="1:12" ht="15.75" customHeight="1" x14ac:dyDescent="0.25">
      <c r="A111" s="186" t="s">
        <v>293</v>
      </c>
      <c r="B111" s="187">
        <v>130000</v>
      </c>
      <c r="C111" s="187">
        <v>60000</v>
      </c>
      <c r="D111" s="187">
        <v>130000</v>
      </c>
      <c r="E111" s="187">
        <v>0</v>
      </c>
      <c r="F111" s="187">
        <v>130000</v>
      </c>
      <c r="G111" s="187">
        <v>60000</v>
      </c>
      <c r="H111" s="187">
        <v>130000</v>
      </c>
      <c r="I111" s="187">
        <v>0</v>
      </c>
      <c r="J111" s="185"/>
      <c r="K111" s="185"/>
      <c r="L111" s="185"/>
    </row>
    <row r="112" spans="1:12" ht="15.75" customHeight="1" x14ac:dyDescent="0.25">
      <c r="A112" s="186" t="s">
        <v>296</v>
      </c>
      <c r="B112" s="187">
        <v>240000</v>
      </c>
      <c r="C112" s="187">
        <v>90000</v>
      </c>
      <c r="D112" s="187">
        <v>240000</v>
      </c>
      <c r="E112" s="187">
        <v>0</v>
      </c>
      <c r="F112" s="187">
        <v>240000</v>
      </c>
      <c r="G112" s="187">
        <v>90000</v>
      </c>
      <c r="H112" s="187">
        <v>240000</v>
      </c>
      <c r="I112" s="187">
        <v>0</v>
      </c>
      <c r="J112" s="185"/>
      <c r="K112" s="185"/>
      <c r="L112" s="185"/>
    </row>
    <row r="113" spans="1:12" ht="15.75" customHeight="1" x14ac:dyDescent="0.25">
      <c r="A113" s="186" t="s">
        <v>297</v>
      </c>
      <c r="B113" s="187">
        <v>260000</v>
      </c>
      <c r="C113" s="187">
        <v>110000</v>
      </c>
      <c r="D113" s="187">
        <v>260000</v>
      </c>
      <c r="E113" s="187">
        <v>0</v>
      </c>
      <c r="F113" s="187">
        <v>260000</v>
      </c>
      <c r="G113" s="187">
        <v>110000</v>
      </c>
      <c r="H113" s="187">
        <v>260000</v>
      </c>
      <c r="I113" s="187">
        <v>0</v>
      </c>
      <c r="J113" s="185"/>
      <c r="K113" s="185"/>
      <c r="L113" s="185"/>
    </row>
    <row r="114" spans="1:12" ht="15.75" customHeight="1" x14ac:dyDescent="0.25">
      <c r="A114" s="186" t="s">
        <v>298</v>
      </c>
      <c r="B114" s="187">
        <v>400000</v>
      </c>
      <c r="C114" s="187">
        <v>110000</v>
      </c>
      <c r="D114" s="187">
        <v>0</v>
      </c>
      <c r="E114" s="187">
        <v>0</v>
      </c>
      <c r="F114" s="187">
        <v>400000</v>
      </c>
      <c r="G114" s="187">
        <v>110000</v>
      </c>
      <c r="H114" s="187">
        <v>0</v>
      </c>
      <c r="I114" s="187">
        <v>0</v>
      </c>
      <c r="J114" s="185"/>
      <c r="K114" s="185"/>
      <c r="L114" s="185"/>
    </row>
    <row r="115" spans="1:12" ht="15" customHeight="1" x14ac:dyDescent="0.25">
      <c r="A115" s="186" t="s">
        <v>299</v>
      </c>
      <c r="B115" s="187">
        <v>0</v>
      </c>
      <c r="C115" s="187">
        <v>110000</v>
      </c>
      <c r="D115" s="187">
        <v>0</v>
      </c>
      <c r="E115" s="187">
        <v>0</v>
      </c>
      <c r="F115" s="187">
        <v>0</v>
      </c>
      <c r="G115" s="187">
        <v>110000</v>
      </c>
      <c r="H115" s="187">
        <v>0</v>
      </c>
      <c r="I115" s="187">
        <v>0</v>
      </c>
      <c r="J115" s="185"/>
      <c r="K115" s="185"/>
      <c r="L115" s="185"/>
    </row>
    <row r="116" spans="1:12" ht="15.75" customHeight="1" x14ac:dyDescent="0.25">
      <c r="A116" s="186" t="s">
        <v>302</v>
      </c>
      <c r="B116" s="187">
        <v>600000</v>
      </c>
      <c r="C116" s="187">
        <v>110000</v>
      </c>
      <c r="D116" s="187">
        <v>600000</v>
      </c>
      <c r="E116" s="187">
        <v>0</v>
      </c>
      <c r="F116" s="187">
        <v>600000</v>
      </c>
      <c r="G116" s="187">
        <v>110000</v>
      </c>
      <c r="H116" s="187">
        <v>600000</v>
      </c>
      <c r="I116" s="187">
        <v>0</v>
      </c>
      <c r="J116" s="185"/>
      <c r="K116" s="185"/>
      <c r="L116" s="185"/>
    </row>
    <row r="117" spans="1:12" ht="15.75" customHeight="1" x14ac:dyDescent="0.25">
      <c r="A117" s="186" t="s">
        <v>304</v>
      </c>
      <c r="B117" s="187">
        <v>0</v>
      </c>
      <c r="C117" s="187">
        <v>110000</v>
      </c>
      <c r="D117" s="187">
        <v>0</v>
      </c>
      <c r="E117" s="187">
        <v>0</v>
      </c>
      <c r="F117" s="187">
        <v>0</v>
      </c>
      <c r="G117" s="187">
        <v>110000</v>
      </c>
      <c r="H117" s="187">
        <v>0</v>
      </c>
      <c r="I117" s="187">
        <v>0</v>
      </c>
      <c r="J117" s="185"/>
      <c r="K117" s="185"/>
      <c r="L117" s="185"/>
    </row>
    <row r="118" spans="1:12" ht="15" customHeight="1" x14ac:dyDescent="0.25">
      <c r="A118" s="186" t="s">
        <v>305</v>
      </c>
      <c r="B118" s="187">
        <v>130000</v>
      </c>
      <c r="C118" s="187">
        <v>60000</v>
      </c>
      <c r="D118" s="187">
        <v>130000</v>
      </c>
      <c r="E118" s="187">
        <v>0</v>
      </c>
      <c r="F118" s="187">
        <v>130000</v>
      </c>
      <c r="G118" s="187">
        <v>60000</v>
      </c>
      <c r="H118" s="187">
        <v>130000</v>
      </c>
      <c r="I118" s="187">
        <v>0</v>
      </c>
      <c r="J118" s="185"/>
      <c r="K118" s="185"/>
      <c r="L118" s="185"/>
    </row>
    <row r="119" spans="1:12" ht="15.75" customHeight="1" x14ac:dyDescent="0.25">
      <c r="A119" s="186" t="s">
        <v>306</v>
      </c>
      <c r="B119" s="187">
        <v>240000</v>
      </c>
      <c r="C119" s="187">
        <v>90000</v>
      </c>
      <c r="D119" s="187">
        <v>240000</v>
      </c>
      <c r="E119" s="187">
        <v>0</v>
      </c>
      <c r="F119" s="187">
        <v>240000</v>
      </c>
      <c r="G119" s="187">
        <v>90000</v>
      </c>
      <c r="H119" s="187">
        <v>240000</v>
      </c>
      <c r="I119" s="187">
        <v>0</v>
      </c>
      <c r="J119" s="185"/>
      <c r="K119" s="185"/>
      <c r="L119" s="185"/>
    </row>
    <row r="120" spans="1:12" ht="15.75" customHeight="1" x14ac:dyDescent="0.25">
      <c r="A120" s="186" t="s">
        <v>307</v>
      </c>
      <c r="B120" s="187">
        <v>260000</v>
      </c>
      <c r="C120" s="187">
        <v>110000</v>
      </c>
      <c r="D120" s="187">
        <v>260000</v>
      </c>
      <c r="E120" s="187">
        <v>0</v>
      </c>
      <c r="F120" s="187">
        <v>260000</v>
      </c>
      <c r="G120" s="187">
        <v>110000</v>
      </c>
      <c r="H120" s="187">
        <v>260000</v>
      </c>
      <c r="I120" s="187">
        <v>0</v>
      </c>
      <c r="J120" s="185"/>
      <c r="K120" s="185"/>
      <c r="L120" s="185"/>
    </row>
    <row r="121" spans="1:12" ht="25.5" hidden="1" customHeight="1" x14ac:dyDescent="0.25">
      <c r="A121" s="186" t="s">
        <v>308</v>
      </c>
      <c r="B121" s="187">
        <v>400000</v>
      </c>
      <c r="C121" s="187">
        <v>110000</v>
      </c>
      <c r="D121" s="187">
        <v>0</v>
      </c>
      <c r="E121" s="187">
        <v>0</v>
      </c>
      <c r="F121" s="187">
        <v>400000</v>
      </c>
      <c r="G121" s="187">
        <v>110000</v>
      </c>
      <c r="H121" s="187">
        <v>0</v>
      </c>
      <c r="I121" s="187">
        <v>0</v>
      </c>
      <c r="J121" s="185"/>
      <c r="K121" s="185"/>
      <c r="L121" s="185"/>
    </row>
    <row r="122" spans="1:12" ht="15.75" hidden="1" customHeight="1" x14ac:dyDescent="0.25">
      <c r="A122" s="186" t="s">
        <v>309</v>
      </c>
      <c r="B122" s="187">
        <v>580000</v>
      </c>
      <c r="C122" s="187">
        <v>300000</v>
      </c>
      <c r="D122" s="187">
        <v>580000</v>
      </c>
      <c r="E122" s="187">
        <v>0</v>
      </c>
      <c r="F122" s="187">
        <v>580000</v>
      </c>
      <c r="G122" s="187">
        <v>300000</v>
      </c>
      <c r="H122" s="187">
        <v>580000</v>
      </c>
      <c r="I122" s="187">
        <v>0</v>
      </c>
      <c r="J122" s="185"/>
      <c r="K122" s="185"/>
      <c r="L122" s="185"/>
    </row>
    <row r="123" spans="1:12" ht="15" hidden="1" customHeight="1" x14ac:dyDescent="0.25">
      <c r="A123" s="186" t="s">
        <v>312</v>
      </c>
      <c r="B123" s="187">
        <v>0</v>
      </c>
      <c r="C123" s="187">
        <v>800000</v>
      </c>
      <c r="D123" s="187">
        <v>0</v>
      </c>
      <c r="E123" s="187">
        <v>0</v>
      </c>
      <c r="F123" s="187">
        <v>0</v>
      </c>
      <c r="G123" s="187">
        <v>800000</v>
      </c>
      <c r="H123" s="187">
        <v>0</v>
      </c>
      <c r="I123" s="187">
        <v>0</v>
      </c>
      <c r="J123" s="185"/>
      <c r="K123" s="185"/>
      <c r="L123" s="185"/>
    </row>
    <row r="124" spans="1:12" ht="15" hidden="1" customHeight="1" x14ac:dyDescent="0.25">
      <c r="A124" s="186" t="s">
        <v>313</v>
      </c>
      <c r="B124" s="187">
        <v>780000</v>
      </c>
      <c r="C124" s="187">
        <v>450000</v>
      </c>
      <c r="D124" s="187">
        <v>780000</v>
      </c>
      <c r="E124" s="187">
        <v>0</v>
      </c>
      <c r="F124" s="187">
        <v>780000</v>
      </c>
      <c r="G124" s="187">
        <v>450000</v>
      </c>
      <c r="H124" s="187">
        <v>780000</v>
      </c>
      <c r="I124" s="187">
        <v>0</v>
      </c>
      <c r="J124" s="185"/>
      <c r="K124" s="185"/>
      <c r="L124" s="185"/>
    </row>
    <row r="125" spans="1:12" ht="15" hidden="1" customHeight="1" x14ac:dyDescent="0.25">
      <c r="A125" s="186" t="s">
        <v>314</v>
      </c>
      <c r="B125" s="187">
        <v>900000</v>
      </c>
      <c r="C125" s="187">
        <v>500000</v>
      </c>
      <c r="D125" s="187">
        <v>900000</v>
      </c>
      <c r="E125" s="187">
        <v>0</v>
      </c>
      <c r="F125" s="187">
        <v>900000</v>
      </c>
      <c r="G125" s="187">
        <v>500000</v>
      </c>
      <c r="H125" s="187">
        <v>900000</v>
      </c>
      <c r="I125" s="187">
        <v>0</v>
      </c>
      <c r="J125" s="185"/>
      <c r="K125" s="185"/>
      <c r="L125" s="185"/>
    </row>
    <row r="126" spans="1:12" ht="28.5" customHeight="1" x14ac:dyDescent="0.25">
      <c r="A126" s="186" t="s">
        <v>315</v>
      </c>
      <c r="B126" s="187">
        <v>0</v>
      </c>
      <c r="C126" s="187">
        <v>600000</v>
      </c>
      <c r="D126" s="187">
        <v>0</v>
      </c>
      <c r="E126" s="187">
        <v>0</v>
      </c>
      <c r="F126" s="187">
        <v>0</v>
      </c>
      <c r="G126" s="187">
        <v>600000</v>
      </c>
      <c r="H126" s="187">
        <v>0</v>
      </c>
      <c r="I126" s="187">
        <v>0</v>
      </c>
      <c r="J126" s="185"/>
      <c r="K126" s="185"/>
      <c r="L126" s="185"/>
    </row>
    <row r="127" spans="1:12" ht="15.75" customHeight="1" x14ac:dyDescent="0.25">
      <c r="A127" s="186" t="s">
        <v>316</v>
      </c>
      <c r="B127" s="187">
        <v>480000</v>
      </c>
      <c r="C127" s="187">
        <v>110000</v>
      </c>
      <c r="D127" s="187">
        <v>480000</v>
      </c>
      <c r="E127" s="187">
        <v>0</v>
      </c>
      <c r="F127" s="187">
        <v>480000</v>
      </c>
      <c r="G127" s="187">
        <v>110000</v>
      </c>
      <c r="H127" s="187">
        <v>480000</v>
      </c>
      <c r="I127" s="187">
        <v>0</v>
      </c>
      <c r="J127" s="185"/>
      <c r="K127" s="185"/>
      <c r="L127" s="185"/>
    </row>
    <row r="128" spans="1:12" ht="15.75" customHeight="1" x14ac:dyDescent="0.25">
      <c r="A128" s="186" t="s">
        <v>319</v>
      </c>
      <c r="B128" s="187">
        <v>0</v>
      </c>
      <c r="C128" s="187">
        <v>110000</v>
      </c>
      <c r="D128" s="187">
        <v>0</v>
      </c>
      <c r="E128" s="187">
        <v>0</v>
      </c>
      <c r="F128" s="187">
        <v>0</v>
      </c>
      <c r="G128" s="187">
        <v>110000</v>
      </c>
      <c r="H128" s="187">
        <v>0</v>
      </c>
      <c r="I128" s="187">
        <v>0</v>
      </c>
      <c r="J128" s="185"/>
      <c r="K128" s="185"/>
      <c r="L128" s="185"/>
    </row>
    <row r="129" spans="1:12" ht="28.5" customHeight="1" x14ac:dyDescent="0.25">
      <c r="A129" s="186" t="s">
        <v>320</v>
      </c>
      <c r="B129" s="187">
        <v>0</v>
      </c>
      <c r="C129" s="187">
        <v>110000</v>
      </c>
      <c r="D129" s="187">
        <v>0</v>
      </c>
      <c r="E129" s="187">
        <v>0</v>
      </c>
      <c r="F129" s="187">
        <v>0</v>
      </c>
      <c r="G129" s="187">
        <v>110000</v>
      </c>
      <c r="H129" s="187">
        <v>0</v>
      </c>
      <c r="I129" s="187">
        <v>0</v>
      </c>
      <c r="J129" s="185"/>
      <c r="K129" s="185"/>
      <c r="L129" s="185"/>
    </row>
    <row r="130" spans="1:12" ht="15.75" customHeight="1" x14ac:dyDescent="0.25">
      <c r="A130" s="186" t="s">
        <v>321</v>
      </c>
      <c r="B130" s="187">
        <v>480000</v>
      </c>
      <c r="C130" s="187">
        <v>110000</v>
      </c>
      <c r="D130" s="187">
        <v>480000</v>
      </c>
      <c r="E130" s="187">
        <v>0</v>
      </c>
      <c r="F130" s="187">
        <v>480000</v>
      </c>
      <c r="G130" s="187">
        <v>110000</v>
      </c>
      <c r="H130" s="187">
        <v>480000</v>
      </c>
      <c r="I130" s="187">
        <v>0</v>
      </c>
      <c r="J130" s="185"/>
      <c r="K130" s="185"/>
      <c r="L130" s="185"/>
    </row>
    <row r="131" spans="1:12" ht="15.75" customHeight="1" x14ac:dyDescent="0.25">
      <c r="A131" s="186" t="s">
        <v>560</v>
      </c>
      <c r="B131" s="187">
        <v>300000</v>
      </c>
      <c r="C131" s="187">
        <v>0</v>
      </c>
      <c r="D131" s="187">
        <v>120000</v>
      </c>
      <c r="E131" s="187">
        <v>180000</v>
      </c>
      <c r="F131" s="187">
        <v>300000</v>
      </c>
      <c r="G131" s="187">
        <v>0</v>
      </c>
      <c r="H131" s="187">
        <v>120000</v>
      </c>
      <c r="I131" s="187">
        <v>180000</v>
      </c>
      <c r="J131" s="185"/>
      <c r="K131" s="185"/>
      <c r="L131" s="185"/>
    </row>
    <row r="132" spans="1:12" ht="15.75" customHeight="1" x14ac:dyDescent="0.25">
      <c r="A132" s="186" t="s">
        <v>322</v>
      </c>
      <c r="B132" s="191">
        <v>300000</v>
      </c>
      <c r="C132" s="191">
        <v>0</v>
      </c>
      <c r="D132" s="187">
        <v>300000</v>
      </c>
      <c r="E132" s="191">
        <v>0</v>
      </c>
      <c r="F132" s="191">
        <v>300000</v>
      </c>
      <c r="G132" s="191">
        <v>0</v>
      </c>
      <c r="H132" s="187">
        <v>300000</v>
      </c>
      <c r="I132" s="191">
        <v>0</v>
      </c>
      <c r="J132" s="192"/>
      <c r="K132" s="192"/>
      <c r="L132" s="192"/>
    </row>
    <row r="133" spans="1:12" ht="15.75" customHeight="1" x14ac:dyDescent="0.25">
      <c r="A133" s="186" t="s">
        <v>326</v>
      </c>
      <c r="B133" s="191">
        <v>0</v>
      </c>
      <c r="C133" s="191">
        <v>0</v>
      </c>
      <c r="D133" s="187">
        <v>0</v>
      </c>
      <c r="E133" s="191">
        <v>0</v>
      </c>
      <c r="F133" s="191">
        <v>0</v>
      </c>
      <c r="G133" s="191">
        <v>0</v>
      </c>
      <c r="H133" s="187">
        <v>0</v>
      </c>
      <c r="I133" s="191">
        <v>0</v>
      </c>
      <c r="J133" s="192"/>
      <c r="K133" s="192"/>
      <c r="L133" s="192"/>
    </row>
    <row r="134" spans="1:12" ht="15.75" customHeight="1" x14ac:dyDescent="0.25">
      <c r="A134" s="186" t="s">
        <v>329</v>
      </c>
      <c r="B134" s="191">
        <v>300000</v>
      </c>
      <c r="C134" s="191">
        <v>0</v>
      </c>
      <c r="D134" s="187">
        <v>300000</v>
      </c>
      <c r="E134" s="191">
        <v>0</v>
      </c>
      <c r="F134" s="191">
        <v>300000</v>
      </c>
      <c r="G134" s="191">
        <v>0</v>
      </c>
      <c r="H134" s="187">
        <v>300000</v>
      </c>
      <c r="I134" s="191">
        <v>0</v>
      </c>
      <c r="J134" s="192"/>
      <c r="K134" s="192"/>
      <c r="L134" s="192"/>
    </row>
    <row r="135" spans="1:12" ht="15.75" customHeight="1" x14ac:dyDescent="0.25">
      <c r="A135" s="186" t="s">
        <v>8</v>
      </c>
      <c r="B135" s="191">
        <v>500000</v>
      </c>
      <c r="C135" s="191">
        <v>0</v>
      </c>
      <c r="D135" s="187">
        <v>500000</v>
      </c>
      <c r="E135" s="191">
        <v>0</v>
      </c>
      <c r="F135" s="191">
        <v>500000</v>
      </c>
      <c r="G135" s="191">
        <v>0</v>
      </c>
      <c r="H135" s="187">
        <v>500000</v>
      </c>
      <c r="I135" s="191">
        <v>0</v>
      </c>
      <c r="J135" s="192"/>
      <c r="K135" s="192"/>
      <c r="L135" s="192"/>
    </row>
    <row r="136" spans="1:12" ht="19.5" customHeight="1" x14ac:dyDescent="0.25">
      <c r="A136" s="186" t="s">
        <v>330</v>
      </c>
      <c r="B136" s="191">
        <v>325000</v>
      </c>
      <c r="C136" s="191">
        <v>0</v>
      </c>
      <c r="D136" s="187">
        <v>325000</v>
      </c>
      <c r="E136" s="191">
        <v>0</v>
      </c>
      <c r="F136" s="191">
        <v>325000</v>
      </c>
      <c r="G136" s="191">
        <v>0</v>
      </c>
      <c r="H136" s="187">
        <v>325000</v>
      </c>
      <c r="I136" s="191">
        <v>0</v>
      </c>
      <c r="J136" s="192"/>
      <c r="K136" s="192"/>
      <c r="L136" s="192"/>
    </row>
    <row r="137" spans="1:12" ht="15.75" customHeight="1" x14ac:dyDescent="0.25">
      <c r="A137" s="186" t="s">
        <v>331</v>
      </c>
      <c r="B137" s="191">
        <v>300000</v>
      </c>
      <c r="C137" s="191">
        <v>0</v>
      </c>
      <c r="D137" s="187">
        <v>300000</v>
      </c>
      <c r="E137" s="191">
        <v>0</v>
      </c>
      <c r="F137" s="191">
        <v>300000</v>
      </c>
      <c r="G137" s="191">
        <v>0</v>
      </c>
      <c r="H137" s="187">
        <v>300000</v>
      </c>
      <c r="I137" s="191">
        <v>0</v>
      </c>
      <c r="J137" s="192"/>
      <c r="K137" s="192"/>
      <c r="L137" s="192"/>
    </row>
    <row r="138" spans="1:12" ht="19.5" customHeight="1" x14ac:dyDescent="0.25">
      <c r="A138" s="186" t="s">
        <v>333</v>
      </c>
      <c r="B138" s="191">
        <v>300000</v>
      </c>
      <c r="C138" s="191">
        <v>0</v>
      </c>
      <c r="D138" s="187">
        <v>300000</v>
      </c>
      <c r="E138" s="191">
        <v>0</v>
      </c>
      <c r="F138" s="191">
        <v>300000</v>
      </c>
      <c r="G138" s="191">
        <v>0</v>
      </c>
      <c r="H138" s="187">
        <v>300000</v>
      </c>
      <c r="I138" s="191">
        <v>0</v>
      </c>
      <c r="J138" s="192"/>
      <c r="K138" s="192"/>
      <c r="L138" s="192"/>
    </row>
    <row r="139" spans="1:12" ht="15.75" customHeight="1" x14ac:dyDescent="0.25">
      <c r="A139" s="186" t="s">
        <v>334</v>
      </c>
      <c r="B139" s="191">
        <v>500000</v>
      </c>
      <c r="C139" s="191">
        <v>0</v>
      </c>
      <c r="D139" s="187">
        <v>500000</v>
      </c>
      <c r="E139" s="191">
        <v>0</v>
      </c>
      <c r="F139" s="191">
        <v>500000</v>
      </c>
      <c r="G139" s="191">
        <v>0</v>
      </c>
      <c r="H139" s="187">
        <v>500000</v>
      </c>
      <c r="I139" s="191">
        <v>0</v>
      </c>
      <c r="J139" s="192"/>
      <c r="K139" s="192"/>
      <c r="L139" s="192"/>
    </row>
    <row r="140" spans="1:12" ht="15" customHeight="1" x14ac:dyDescent="0.25">
      <c r="A140" s="186" t="s">
        <v>336</v>
      </c>
      <c r="B140" s="191">
        <v>325000</v>
      </c>
      <c r="C140" s="191">
        <v>0</v>
      </c>
      <c r="D140" s="187">
        <v>325000</v>
      </c>
      <c r="E140" s="191">
        <v>0</v>
      </c>
      <c r="F140" s="191">
        <v>325000</v>
      </c>
      <c r="G140" s="191">
        <v>0</v>
      </c>
      <c r="H140" s="187">
        <v>325000</v>
      </c>
      <c r="I140" s="191">
        <v>0</v>
      </c>
      <c r="J140" s="192"/>
      <c r="K140" s="192"/>
      <c r="L140" s="192"/>
    </row>
    <row r="141" spans="1:12" ht="15" customHeight="1" x14ac:dyDescent="0.25">
      <c r="A141" s="186" t="s">
        <v>338</v>
      </c>
      <c r="B141" s="187">
        <v>0</v>
      </c>
      <c r="C141" s="187">
        <v>0</v>
      </c>
      <c r="D141" s="187">
        <v>0</v>
      </c>
      <c r="E141" s="187">
        <v>0</v>
      </c>
      <c r="F141" s="187">
        <v>0</v>
      </c>
      <c r="G141" s="187">
        <v>0</v>
      </c>
      <c r="H141" s="187">
        <v>0</v>
      </c>
      <c r="I141" s="187">
        <v>0</v>
      </c>
      <c r="J141" s="185"/>
      <c r="K141" s="185"/>
      <c r="L141" s="185"/>
    </row>
    <row r="142" spans="1:12" ht="19.5" customHeight="1" x14ac:dyDescent="0.25">
      <c r="A142" s="186" t="s">
        <v>340</v>
      </c>
      <c r="B142" s="187">
        <v>300000</v>
      </c>
      <c r="C142" s="187">
        <v>0</v>
      </c>
      <c r="D142" s="187">
        <v>280000</v>
      </c>
      <c r="E142" s="187">
        <v>0</v>
      </c>
      <c r="F142" s="187">
        <v>300000</v>
      </c>
      <c r="G142" s="187">
        <v>0</v>
      </c>
      <c r="H142" s="187">
        <v>280000</v>
      </c>
      <c r="I142" s="187">
        <v>0</v>
      </c>
      <c r="J142" s="185"/>
      <c r="K142" s="185"/>
      <c r="L142" s="185"/>
    </row>
    <row r="143" spans="1:12" ht="20.25" customHeight="1" x14ac:dyDescent="0.25">
      <c r="A143" s="186" t="s">
        <v>342</v>
      </c>
      <c r="B143" s="187">
        <v>500000</v>
      </c>
      <c r="C143" s="187">
        <v>0</v>
      </c>
      <c r="D143" s="187">
        <v>77000</v>
      </c>
      <c r="E143" s="187">
        <v>423000</v>
      </c>
      <c r="F143" s="187">
        <v>500000</v>
      </c>
      <c r="G143" s="187">
        <v>0</v>
      </c>
      <c r="H143" s="187">
        <v>77000</v>
      </c>
      <c r="I143" s="187">
        <v>423000</v>
      </c>
      <c r="J143" s="185"/>
      <c r="K143" s="185"/>
      <c r="L143" s="185"/>
    </row>
    <row r="144" spans="1:12" ht="19.5" customHeight="1" x14ac:dyDescent="0.25">
      <c r="A144" s="186" t="s">
        <v>344</v>
      </c>
      <c r="B144" s="187">
        <v>325000</v>
      </c>
      <c r="C144" s="187">
        <v>0</v>
      </c>
      <c r="D144" s="187">
        <v>92000</v>
      </c>
      <c r="E144" s="187">
        <v>233000</v>
      </c>
      <c r="F144" s="187">
        <v>325000</v>
      </c>
      <c r="G144" s="187">
        <v>0</v>
      </c>
      <c r="H144" s="187">
        <v>92000</v>
      </c>
      <c r="I144" s="187">
        <v>233000</v>
      </c>
      <c r="J144" s="185"/>
      <c r="K144" s="185"/>
      <c r="L144" s="185"/>
    </row>
    <row r="145" spans="1:12" ht="20.25" customHeight="1" x14ac:dyDescent="0.25">
      <c r="A145" s="186" t="s">
        <v>346</v>
      </c>
      <c r="B145" s="187">
        <v>300000</v>
      </c>
      <c r="C145" s="187">
        <v>0</v>
      </c>
      <c r="D145" s="187">
        <v>97000</v>
      </c>
      <c r="E145" s="187">
        <v>203000</v>
      </c>
      <c r="F145" s="187">
        <v>300000</v>
      </c>
      <c r="G145" s="187">
        <v>0</v>
      </c>
      <c r="H145" s="187">
        <v>97000</v>
      </c>
      <c r="I145" s="187">
        <v>203000</v>
      </c>
      <c r="J145" s="185"/>
      <c r="K145" s="185"/>
      <c r="L145" s="185"/>
    </row>
    <row r="146" spans="1:12" ht="15" customHeight="1" x14ac:dyDescent="0.25">
      <c r="A146" s="186" t="s">
        <v>348</v>
      </c>
      <c r="B146" s="187">
        <v>300000</v>
      </c>
      <c r="C146" s="187">
        <v>0</v>
      </c>
      <c r="D146" s="187">
        <v>137000</v>
      </c>
      <c r="E146" s="187">
        <v>163000</v>
      </c>
      <c r="F146" s="187">
        <v>300000</v>
      </c>
      <c r="G146" s="187">
        <v>0</v>
      </c>
      <c r="H146" s="187">
        <v>137000</v>
      </c>
      <c r="I146" s="187">
        <v>163000</v>
      </c>
      <c r="J146" s="185"/>
      <c r="K146" s="185"/>
      <c r="L146" s="185"/>
    </row>
    <row r="147" spans="1:12" ht="15" customHeight="1" x14ac:dyDescent="0.25">
      <c r="A147" s="186" t="s">
        <v>350</v>
      </c>
      <c r="B147" s="187">
        <v>0</v>
      </c>
      <c r="C147" s="187">
        <v>0</v>
      </c>
      <c r="D147" s="187">
        <v>280000</v>
      </c>
      <c r="E147" s="187">
        <v>0</v>
      </c>
      <c r="F147" s="187">
        <v>0</v>
      </c>
      <c r="G147" s="187">
        <v>0</v>
      </c>
      <c r="H147" s="187">
        <v>280000</v>
      </c>
      <c r="I147" s="187">
        <v>0</v>
      </c>
      <c r="J147" s="185"/>
      <c r="K147" s="185"/>
      <c r="L147" s="185"/>
    </row>
    <row r="148" spans="1:12" ht="15" customHeight="1" x14ac:dyDescent="0.25">
      <c r="A148" s="186" t="s">
        <v>352</v>
      </c>
      <c r="B148" s="187">
        <v>500000</v>
      </c>
      <c r="C148" s="187">
        <v>0</v>
      </c>
      <c r="D148" s="187">
        <v>77000</v>
      </c>
      <c r="E148" s="187">
        <v>423000</v>
      </c>
      <c r="F148" s="187">
        <v>500000</v>
      </c>
      <c r="G148" s="187">
        <v>0</v>
      </c>
      <c r="H148" s="187">
        <v>77000</v>
      </c>
      <c r="I148" s="187">
        <v>423000</v>
      </c>
      <c r="J148" s="185"/>
      <c r="K148" s="185"/>
      <c r="L148" s="185"/>
    </row>
    <row r="149" spans="1:12" ht="15" customHeight="1" x14ac:dyDescent="0.25">
      <c r="A149" s="186" t="s">
        <v>354</v>
      </c>
      <c r="B149" s="187">
        <v>325000</v>
      </c>
      <c r="C149" s="187">
        <v>0</v>
      </c>
      <c r="D149" s="187">
        <v>92000</v>
      </c>
      <c r="E149" s="187">
        <v>233000</v>
      </c>
      <c r="F149" s="187">
        <v>325000</v>
      </c>
      <c r="G149" s="187">
        <v>0</v>
      </c>
      <c r="H149" s="187">
        <v>92000</v>
      </c>
      <c r="I149" s="187">
        <v>233000</v>
      </c>
      <c r="J149" s="185"/>
      <c r="K149" s="185"/>
      <c r="L149" s="185"/>
    </row>
    <row r="150" spans="1:12" ht="16.5" customHeight="1" x14ac:dyDescent="0.25">
      <c r="A150" s="186" t="s">
        <v>356</v>
      </c>
      <c r="B150" s="187">
        <v>300000</v>
      </c>
      <c r="C150" s="187">
        <v>0</v>
      </c>
      <c r="D150" s="187">
        <v>97000</v>
      </c>
      <c r="E150" s="187">
        <v>203000</v>
      </c>
      <c r="F150" s="187">
        <v>300000</v>
      </c>
      <c r="G150" s="187">
        <v>0</v>
      </c>
      <c r="H150" s="187">
        <v>97000</v>
      </c>
      <c r="I150" s="187">
        <v>203000</v>
      </c>
      <c r="J150" s="185"/>
      <c r="K150" s="185"/>
      <c r="L150" s="185"/>
    </row>
    <row r="151" spans="1:12" ht="15.75" customHeight="1" x14ac:dyDescent="0.25">
      <c r="A151" s="186" t="s">
        <v>358</v>
      </c>
      <c r="B151" s="187">
        <v>300000</v>
      </c>
      <c r="C151" s="187">
        <v>0</v>
      </c>
      <c r="D151" s="187">
        <v>137000</v>
      </c>
      <c r="E151" s="187">
        <v>163000</v>
      </c>
      <c r="F151" s="187">
        <v>300000</v>
      </c>
      <c r="G151" s="187">
        <v>0</v>
      </c>
      <c r="H151" s="187">
        <v>137000</v>
      </c>
      <c r="I151" s="187">
        <v>163000</v>
      </c>
      <c r="J151" s="185"/>
      <c r="K151" s="185"/>
      <c r="L151" s="185"/>
    </row>
    <row r="152" spans="1:12" ht="15.75" customHeight="1" x14ac:dyDescent="0.25">
      <c r="A152" s="186" t="s">
        <v>360</v>
      </c>
      <c r="B152" s="187">
        <v>230000</v>
      </c>
      <c r="C152" s="187">
        <v>75000</v>
      </c>
      <c r="D152" s="187">
        <v>230000</v>
      </c>
      <c r="E152" s="187">
        <v>0</v>
      </c>
      <c r="F152" s="187">
        <v>230000</v>
      </c>
      <c r="G152" s="187">
        <v>75000</v>
      </c>
      <c r="H152" s="187">
        <v>230000</v>
      </c>
      <c r="I152" s="187">
        <v>0</v>
      </c>
      <c r="J152" s="185"/>
      <c r="K152" s="185"/>
      <c r="L152" s="185"/>
    </row>
    <row r="153" spans="1:12" ht="16.5" customHeight="1" x14ac:dyDescent="0.25">
      <c r="A153" s="186" t="s">
        <v>362</v>
      </c>
      <c r="B153" s="187">
        <v>230000</v>
      </c>
      <c r="C153" s="187">
        <v>75000</v>
      </c>
      <c r="D153" s="187">
        <v>230000</v>
      </c>
      <c r="E153" s="187">
        <v>0</v>
      </c>
      <c r="F153" s="187">
        <v>230000</v>
      </c>
      <c r="G153" s="187">
        <v>75000</v>
      </c>
      <c r="H153" s="187">
        <v>230000</v>
      </c>
      <c r="I153" s="187">
        <v>0</v>
      </c>
      <c r="J153" s="185"/>
      <c r="K153" s="185"/>
      <c r="L153" s="185"/>
    </row>
    <row r="154" spans="1:12" ht="15.75" customHeight="1" x14ac:dyDescent="0.25">
      <c r="A154" s="186" t="s">
        <v>364</v>
      </c>
      <c r="B154" s="187">
        <v>260000</v>
      </c>
      <c r="C154" s="187">
        <v>75000</v>
      </c>
      <c r="D154" s="187">
        <v>260000</v>
      </c>
      <c r="E154" s="187">
        <v>0</v>
      </c>
      <c r="F154" s="187">
        <v>260000</v>
      </c>
      <c r="G154" s="187">
        <v>75000</v>
      </c>
      <c r="H154" s="187">
        <v>260000</v>
      </c>
      <c r="I154" s="187">
        <v>0</v>
      </c>
      <c r="J154" s="185"/>
      <c r="K154" s="185"/>
      <c r="L154" s="185"/>
    </row>
    <row r="155" spans="1:12" ht="15.75" customHeight="1" x14ac:dyDescent="0.25">
      <c r="A155" s="186" t="s">
        <v>366</v>
      </c>
      <c r="B155" s="187">
        <v>230000</v>
      </c>
      <c r="C155" s="187">
        <v>75000</v>
      </c>
      <c r="D155" s="187">
        <v>230000</v>
      </c>
      <c r="E155" s="187">
        <v>0</v>
      </c>
      <c r="F155" s="187">
        <v>230000</v>
      </c>
      <c r="G155" s="187">
        <v>75000</v>
      </c>
      <c r="H155" s="187">
        <v>230000</v>
      </c>
      <c r="I155" s="187">
        <v>0</v>
      </c>
      <c r="J155" s="185"/>
      <c r="K155" s="185"/>
      <c r="L155" s="185"/>
    </row>
    <row r="156" spans="1:12" ht="15.75" customHeight="1" x14ac:dyDescent="0.25">
      <c r="A156" s="186" t="s">
        <v>368</v>
      </c>
      <c r="B156" s="187">
        <v>230000</v>
      </c>
      <c r="C156" s="187">
        <v>75000</v>
      </c>
      <c r="D156" s="187">
        <v>230000</v>
      </c>
      <c r="E156" s="187">
        <v>0</v>
      </c>
      <c r="F156" s="187">
        <v>230000</v>
      </c>
      <c r="G156" s="187">
        <v>75000</v>
      </c>
      <c r="H156" s="187">
        <v>230000</v>
      </c>
      <c r="I156" s="187">
        <v>0</v>
      </c>
      <c r="J156" s="185"/>
      <c r="K156" s="185"/>
      <c r="L156" s="185"/>
    </row>
    <row r="157" spans="1:12" ht="15.75" customHeight="1" x14ac:dyDescent="0.25">
      <c r="A157" s="186" t="s">
        <v>369</v>
      </c>
      <c r="B157" s="187">
        <v>260000</v>
      </c>
      <c r="C157" s="187">
        <v>75000</v>
      </c>
      <c r="D157" s="187">
        <v>260000</v>
      </c>
      <c r="E157" s="187">
        <v>0</v>
      </c>
      <c r="F157" s="187">
        <v>260000</v>
      </c>
      <c r="G157" s="187">
        <v>75000</v>
      </c>
      <c r="H157" s="187">
        <v>260000</v>
      </c>
      <c r="I157" s="187">
        <v>0</v>
      </c>
      <c r="J157" s="185"/>
      <c r="K157" s="185"/>
      <c r="L157" s="185"/>
    </row>
    <row r="158" spans="1:12" ht="15.75" customHeight="1" x14ac:dyDescent="0.25">
      <c r="A158" s="186" t="s">
        <v>371</v>
      </c>
      <c r="B158" s="187">
        <v>230000</v>
      </c>
      <c r="C158" s="187">
        <v>75000</v>
      </c>
      <c r="D158" s="187">
        <v>230000</v>
      </c>
      <c r="E158" s="187">
        <v>0</v>
      </c>
      <c r="F158" s="187">
        <v>230000</v>
      </c>
      <c r="G158" s="187">
        <v>75000</v>
      </c>
      <c r="H158" s="187">
        <v>230000</v>
      </c>
      <c r="I158" s="187">
        <v>0</v>
      </c>
      <c r="J158" s="185"/>
      <c r="K158" s="185"/>
      <c r="L158" s="185"/>
    </row>
    <row r="159" spans="1:12" ht="15" customHeight="1" x14ac:dyDescent="0.25">
      <c r="A159" s="186" t="s">
        <v>374</v>
      </c>
      <c r="B159" s="187">
        <v>230000</v>
      </c>
      <c r="C159" s="187">
        <v>75000</v>
      </c>
      <c r="D159" s="187">
        <v>230000</v>
      </c>
      <c r="E159" s="187">
        <v>0</v>
      </c>
      <c r="F159" s="187">
        <v>230000</v>
      </c>
      <c r="G159" s="187">
        <v>75000</v>
      </c>
      <c r="H159" s="187">
        <v>230000</v>
      </c>
      <c r="I159" s="187">
        <v>0</v>
      </c>
      <c r="J159" s="185"/>
      <c r="K159" s="185"/>
      <c r="L159" s="185"/>
    </row>
    <row r="160" spans="1:12" ht="15" customHeight="1" x14ac:dyDescent="0.25">
      <c r="A160" s="186" t="s">
        <v>376</v>
      </c>
      <c r="B160" s="187">
        <v>260000</v>
      </c>
      <c r="C160" s="187">
        <v>75000</v>
      </c>
      <c r="D160" s="187">
        <v>260000</v>
      </c>
      <c r="E160" s="187">
        <v>0</v>
      </c>
      <c r="F160" s="187">
        <v>260000</v>
      </c>
      <c r="G160" s="187">
        <v>75000</v>
      </c>
      <c r="H160" s="187">
        <v>260000</v>
      </c>
      <c r="I160" s="187">
        <v>0</v>
      </c>
      <c r="J160" s="185"/>
      <c r="K160" s="185"/>
      <c r="L160" s="185"/>
    </row>
    <row r="161" spans="1:12" ht="15" customHeight="1" x14ac:dyDescent="0.25">
      <c r="A161" s="186" t="s">
        <v>378</v>
      </c>
      <c r="B161" s="187">
        <v>230000</v>
      </c>
      <c r="C161" s="187">
        <v>75000</v>
      </c>
      <c r="D161" s="187">
        <v>230000</v>
      </c>
      <c r="E161" s="187">
        <v>0</v>
      </c>
      <c r="F161" s="187">
        <v>230000</v>
      </c>
      <c r="G161" s="187">
        <v>75000</v>
      </c>
      <c r="H161" s="187">
        <v>230000</v>
      </c>
      <c r="I161" s="187">
        <v>0</v>
      </c>
      <c r="J161" s="185"/>
      <c r="K161" s="185"/>
      <c r="L161" s="185"/>
    </row>
    <row r="162" spans="1:12" ht="15" hidden="1" customHeight="1" x14ac:dyDescent="0.25">
      <c r="A162" s="186" t="s">
        <v>381</v>
      </c>
      <c r="B162" s="187">
        <v>230000</v>
      </c>
      <c r="C162" s="187">
        <v>75000</v>
      </c>
      <c r="D162" s="187">
        <v>230000</v>
      </c>
      <c r="E162" s="187">
        <v>0</v>
      </c>
      <c r="F162" s="187">
        <v>230000</v>
      </c>
      <c r="G162" s="187">
        <v>75000</v>
      </c>
      <c r="H162" s="187">
        <v>230000</v>
      </c>
      <c r="I162" s="187">
        <v>0</v>
      </c>
      <c r="J162" s="185"/>
      <c r="K162" s="185"/>
      <c r="L162" s="185"/>
    </row>
    <row r="163" spans="1:12" ht="15.75" customHeight="1" x14ac:dyDescent="0.25">
      <c r="A163" s="186" t="s">
        <v>383</v>
      </c>
      <c r="B163" s="187">
        <v>260000</v>
      </c>
      <c r="C163" s="187">
        <v>75000</v>
      </c>
      <c r="D163" s="187">
        <v>260000</v>
      </c>
      <c r="E163" s="187">
        <v>0</v>
      </c>
      <c r="F163" s="187">
        <v>260000</v>
      </c>
      <c r="G163" s="187">
        <v>75000</v>
      </c>
      <c r="H163" s="187">
        <v>260000</v>
      </c>
      <c r="I163" s="187">
        <v>0</v>
      </c>
      <c r="J163" s="185"/>
      <c r="K163" s="185"/>
      <c r="L163" s="185"/>
    </row>
    <row r="164" spans="1:12" ht="32.25" customHeight="1" x14ac:dyDescent="0.25">
      <c r="A164" s="186" t="s">
        <v>384</v>
      </c>
      <c r="B164" s="187">
        <v>0</v>
      </c>
      <c r="C164" s="187">
        <v>0</v>
      </c>
      <c r="D164" s="187">
        <v>0</v>
      </c>
      <c r="E164" s="187">
        <v>0</v>
      </c>
      <c r="F164" s="187">
        <v>0</v>
      </c>
      <c r="G164" s="187">
        <v>0</v>
      </c>
      <c r="H164" s="187">
        <v>0</v>
      </c>
      <c r="I164" s="187">
        <v>0</v>
      </c>
      <c r="J164" s="185"/>
      <c r="K164" s="185"/>
      <c r="L164" s="185"/>
    </row>
    <row r="165" spans="1:12" ht="18" customHeight="1" x14ac:dyDescent="0.25">
      <c r="A165" s="186" t="s">
        <v>385</v>
      </c>
      <c r="B165" s="187">
        <v>2850000</v>
      </c>
      <c r="C165" s="187">
        <v>0</v>
      </c>
      <c r="D165" s="187">
        <v>2850000</v>
      </c>
      <c r="E165" s="187">
        <v>0</v>
      </c>
      <c r="F165" s="187">
        <v>2850000</v>
      </c>
      <c r="G165" s="187">
        <v>0</v>
      </c>
      <c r="H165" s="187">
        <v>2850000</v>
      </c>
      <c r="I165" s="187">
        <v>0</v>
      </c>
      <c r="J165" s="185"/>
      <c r="K165" s="185"/>
      <c r="L165" s="185"/>
    </row>
    <row r="166" spans="1:12" ht="15" customHeight="1" x14ac:dyDescent="0.25">
      <c r="A166" s="186" t="s">
        <v>389</v>
      </c>
      <c r="B166" s="187">
        <v>4050000</v>
      </c>
      <c r="C166" s="187">
        <v>0</v>
      </c>
      <c r="D166" s="187">
        <v>4050000</v>
      </c>
      <c r="E166" s="187">
        <v>0</v>
      </c>
      <c r="F166" s="187">
        <v>4050000</v>
      </c>
      <c r="G166" s="187">
        <v>0</v>
      </c>
      <c r="H166" s="187">
        <v>4050000</v>
      </c>
      <c r="I166" s="187">
        <v>0</v>
      </c>
      <c r="J166" s="185"/>
      <c r="K166" s="185"/>
      <c r="L166" s="185"/>
    </row>
    <row r="167" spans="1:12" ht="19.5" customHeight="1" x14ac:dyDescent="0.25">
      <c r="A167" s="186" t="s">
        <v>391</v>
      </c>
      <c r="B167" s="191">
        <v>3700000</v>
      </c>
      <c r="C167" s="191">
        <v>300000</v>
      </c>
      <c r="D167" s="187">
        <v>1350000</v>
      </c>
      <c r="E167" s="193" t="s">
        <v>392</v>
      </c>
      <c r="F167" s="191">
        <v>3700000</v>
      </c>
      <c r="G167" s="191">
        <v>300000</v>
      </c>
      <c r="H167" s="187">
        <v>1350000</v>
      </c>
      <c r="I167" s="193" t="s">
        <v>392</v>
      </c>
      <c r="J167" s="194"/>
      <c r="K167" s="194"/>
      <c r="L167" s="194"/>
    </row>
    <row r="168" spans="1:12" ht="18.75" customHeight="1" x14ac:dyDescent="0.25">
      <c r="A168" s="186" t="s">
        <v>394</v>
      </c>
      <c r="B168" s="191">
        <v>3800000</v>
      </c>
      <c r="C168" s="191">
        <v>300000</v>
      </c>
      <c r="D168" s="187">
        <v>1350000</v>
      </c>
      <c r="E168" s="193" t="s">
        <v>392</v>
      </c>
      <c r="F168" s="191">
        <v>3800000</v>
      </c>
      <c r="G168" s="191">
        <v>300000</v>
      </c>
      <c r="H168" s="187">
        <v>1350000</v>
      </c>
      <c r="I168" s="193" t="s">
        <v>392</v>
      </c>
      <c r="J168" s="194"/>
      <c r="K168" s="194"/>
      <c r="L168" s="194"/>
    </row>
    <row r="169" spans="1:12" ht="21" customHeight="1" x14ac:dyDescent="0.25">
      <c r="A169" s="186" t="s">
        <v>397</v>
      </c>
      <c r="B169" s="191">
        <v>0</v>
      </c>
      <c r="C169" s="191">
        <v>300000</v>
      </c>
      <c r="D169" s="187">
        <v>0</v>
      </c>
      <c r="E169" s="193" t="s">
        <v>392</v>
      </c>
      <c r="F169" s="191">
        <v>0</v>
      </c>
      <c r="G169" s="191">
        <v>300000</v>
      </c>
      <c r="H169" s="187">
        <v>0</v>
      </c>
      <c r="I169" s="193" t="s">
        <v>392</v>
      </c>
      <c r="J169" s="194"/>
      <c r="K169" s="194"/>
      <c r="L169" s="194"/>
    </row>
    <row r="170" spans="1:12" ht="15.75" customHeight="1" x14ac:dyDescent="0.25">
      <c r="A170" s="186" t="s">
        <v>399</v>
      </c>
      <c r="B170" s="191">
        <v>3700000</v>
      </c>
      <c r="C170" s="191">
        <v>300000</v>
      </c>
      <c r="D170" s="187">
        <v>1200000</v>
      </c>
      <c r="E170" s="193" t="s">
        <v>392</v>
      </c>
      <c r="F170" s="191">
        <v>3700000</v>
      </c>
      <c r="G170" s="191">
        <v>300000</v>
      </c>
      <c r="H170" s="187">
        <v>1200000</v>
      </c>
      <c r="I170" s="193" t="s">
        <v>392</v>
      </c>
      <c r="J170" s="194"/>
      <c r="K170" s="194"/>
      <c r="L170" s="194"/>
    </row>
    <row r="171" spans="1:12" ht="15.75" customHeight="1" x14ac:dyDescent="0.25">
      <c r="A171" s="186" t="s">
        <v>401</v>
      </c>
      <c r="B171" s="191">
        <v>5250000</v>
      </c>
      <c r="C171" s="191">
        <v>300000</v>
      </c>
      <c r="D171" s="187">
        <v>1200000</v>
      </c>
      <c r="E171" s="193" t="s">
        <v>392</v>
      </c>
      <c r="F171" s="191">
        <v>5250000</v>
      </c>
      <c r="G171" s="191">
        <v>300000</v>
      </c>
      <c r="H171" s="187">
        <v>1200000</v>
      </c>
      <c r="I171" s="193" t="s">
        <v>392</v>
      </c>
      <c r="J171" s="194"/>
      <c r="K171" s="194"/>
      <c r="L171" s="194"/>
    </row>
    <row r="172" spans="1:12" ht="15.75" customHeight="1" x14ac:dyDescent="0.25">
      <c r="A172" s="195" t="s">
        <v>403</v>
      </c>
      <c r="B172" s="196">
        <v>11450000</v>
      </c>
      <c r="C172" s="197"/>
      <c r="D172" s="197"/>
      <c r="E172" s="197"/>
      <c r="F172" s="196">
        <v>11450000</v>
      </c>
      <c r="G172" s="197"/>
      <c r="H172" s="197"/>
      <c r="I172" s="197"/>
      <c r="J172" s="197"/>
      <c r="K172" s="197"/>
      <c r="L172" s="197"/>
    </row>
    <row r="173" spans="1:12" ht="15.75" customHeight="1" x14ac:dyDescent="0.25">
      <c r="A173" s="183" t="s">
        <v>406</v>
      </c>
      <c r="B173" s="198">
        <v>4400000</v>
      </c>
      <c r="C173" s="198">
        <v>300000</v>
      </c>
      <c r="D173" s="184">
        <v>1200000</v>
      </c>
      <c r="E173" s="199" t="s">
        <v>392</v>
      </c>
      <c r="F173" s="198">
        <v>4400000</v>
      </c>
      <c r="G173" s="198">
        <v>300000</v>
      </c>
      <c r="H173" s="184">
        <v>1200000</v>
      </c>
      <c r="I173" s="199" t="s">
        <v>392</v>
      </c>
      <c r="J173" s="194"/>
      <c r="K173" s="194"/>
      <c r="L173" s="194"/>
    </row>
    <row r="174" spans="1:12" ht="15.75" customHeight="1" x14ac:dyDescent="0.25">
      <c r="A174" s="200" t="s">
        <v>408</v>
      </c>
      <c r="B174" s="187">
        <v>0</v>
      </c>
      <c r="C174" s="187">
        <v>0</v>
      </c>
      <c r="D174" s="187">
        <v>0</v>
      </c>
      <c r="E174" s="187">
        <v>0</v>
      </c>
      <c r="F174" s="187">
        <v>0</v>
      </c>
      <c r="G174" s="187">
        <v>0</v>
      </c>
      <c r="H174" s="187">
        <v>0</v>
      </c>
      <c r="I174" s="187">
        <v>0</v>
      </c>
      <c r="J174" s="185"/>
      <c r="K174" s="185"/>
      <c r="L174" s="185"/>
    </row>
    <row r="175" spans="1:12" ht="15.75" customHeight="1" x14ac:dyDescent="0.25">
      <c r="A175" s="200" t="s">
        <v>409</v>
      </c>
      <c r="B175" s="187">
        <v>150000</v>
      </c>
      <c r="C175" s="187">
        <v>70000</v>
      </c>
      <c r="D175" s="187">
        <v>100000</v>
      </c>
      <c r="E175" s="187">
        <v>50000</v>
      </c>
      <c r="F175" s="187">
        <v>150000</v>
      </c>
      <c r="G175" s="187">
        <v>70000</v>
      </c>
      <c r="H175" s="187">
        <v>100000</v>
      </c>
      <c r="I175" s="187">
        <v>50000</v>
      </c>
      <c r="J175" s="185"/>
      <c r="K175" s="185"/>
      <c r="L175" s="185"/>
    </row>
    <row r="176" spans="1:12" ht="15" customHeight="1" x14ac:dyDescent="0.25">
      <c r="A176" s="201" t="s">
        <v>412</v>
      </c>
      <c r="B176" s="187">
        <v>115000</v>
      </c>
      <c r="C176" s="187">
        <v>70000</v>
      </c>
      <c r="D176" s="187">
        <v>80000</v>
      </c>
      <c r="E176" s="187">
        <v>35000</v>
      </c>
      <c r="F176" s="187">
        <v>115000</v>
      </c>
      <c r="G176" s="187">
        <v>70000</v>
      </c>
      <c r="H176" s="187">
        <v>80000</v>
      </c>
      <c r="I176" s="187">
        <v>35000</v>
      </c>
      <c r="J176" s="185"/>
      <c r="K176" s="185"/>
      <c r="L176" s="185"/>
    </row>
    <row r="177" spans="1:12" ht="15" customHeight="1" x14ac:dyDescent="0.25">
      <c r="A177" s="201" t="s">
        <v>413</v>
      </c>
      <c r="B177" s="187">
        <v>200000</v>
      </c>
      <c r="C177" s="187">
        <v>109000</v>
      </c>
      <c r="D177" s="187">
        <v>91000</v>
      </c>
      <c r="E177" s="187">
        <v>109000</v>
      </c>
      <c r="F177" s="187">
        <v>200000</v>
      </c>
      <c r="G177" s="187">
        <v>109000</v>
      </c>
      <c r="H177" s="187">
        <v>91000</v>
      </c>
      <c r="I177" s="187">
        <v>109000</v>
      </c>
      <c r="J177" s="185"/>
      <c r="K177" s="185"/>
      <c r="L177" s="185"/>
    </row>
    <row r="178" spans="1:12" ht="15" customHeight="1" x14ac:dyDescent="0.25">
      <c r="A178" s="201" t="s">
        <v>416</v>
      </c>
      <c r="B178" s="187">
        <v>430000</v>
      </c>
      <c r="C178" s="187">
        <v>0</v>
      </c>
      <c r="D178" s="187">
        <v>125000</v>
      </c>
      <c r="E178" s="187">
        <v>305000</v>
      </c>
      <c r="F178" s="187">
        <v>430000</v>
      </c>
      <c r="G178" s="187">
        <v>0</v>
      </c>
      <c r="H178" s="187">
        <v>125000</v>
      </c>
      <c r="I178" s="187">
        <v>305000</v>
      </c>
      <c r="J178" s="185"/>
      <c r="K178" s="185"/>
      <c r="L178" s="185"/>
    </row>
    <row r="179" spans="1:12" ht="15" customHeight="1" x14ac:dyDescent="0.25">
      <c r="A179" s="201" t="s">
        <v>417</v>
      </c>
      <c r="B179" s="187">
        <v>350000</v>
      </c>
      <c r="C179" s="187">
        <v>0</v>
      </c>
      <c r="D179" s="187">
        <v>115000</v>
      </c>
      <c r="E179" s="187">
        <v>235000</v>
      </c>
      <c r="F179" s="187">
        <v>350000</v>
      </c>
      <c r="G179" s="187">
        <v>0</v>
      </c>
      <c r="H179" s="187">
        <v>115000</v>
      </c>
      <c r="I179" s="187">
        <v>235000</v>
      </c>
      <c r="J179" s="185"/>
      <c r="K179" s="185"/>
      <c r="L179" s="185"/>
    </row>
    <row r="180" spans="1:12" ht="15" customHeight="1" x14ac:dyDescent="0.25">
      <c r="A180" s="201" t="s">
        <v>418</v>
      </c>
      <c r="B180" s="187">
        <v>210000</v>
      </c>
      <c r="C180" s="187">
        <v>110000</v>
      </c>
      <c r="D180" s="187">
        <v>100000</v>
      </c>
      <c r="E180" s="187">
        <v>110000</v>
      </c>
      <c r="F180" s="187">
        <v>210000</v>
      </c>
      <c r="G180" s="187">
        <v>110000</v>
      </c>
      <c r="H180" s="187">
        <v>100000</v>
      </c>
      <c r="I180" s="187">
        <v>110000</v>
      </c>
      <c r="J180" s="185"/>
      <c r="K180" s="185"/>
      <c r="L180" s="185"/>
    </row>
    <row r="181" spans="1:12" ht="15" customHeight="1" x14ac:dyDescent="0.25">
      <c r="A181" s="200" t="s">
        <v>421</v>
      </c>
      <c r="B181" s="187">
        <v>280000</v>
      </c>
      <c r="C181" s="187">
        <v>0</v>
      </c>
      <c r="D181" s="187">
        <v>120000</v>
      </c>
      <c r="E181" s="187">
        <v>160000</v>
      </c>
      <c r="F181" s="187">
        <v>280000</v>
      </c>
      <c r="G181" s="187">
        <v>0</v>
      </c>
      <c r="H181" s="187">
        <v>120000</v>
      </c>
      <c r="I181" s="187">
        <v>160000</v>
      </c>
      <c r="J181" s="185"/>
      <c r="K181" s="185"/>
      <c r="L181" s="185"/>
    </row>
    <row r="182" spans="1:12" ht="15" customHeight="1" x14ac:dyDescent="0.25">
      <c r="A182" s="200" t="s">
        <v>423</v>
      </c>
      <c r="B182" s="187">
        <v>0</v>
      </c>
      <c r="C182" s="187">
        <v>0</v>
      </c>
      <c r="D182" s="187">
        <v>0</v>
      </c>
      <c r="E182" s="187">
        <v>0</v>
      </c>
      <c r="F182" s="187">
        <v>0</v>
      </c>
      <c r="G182" s="187">
        <v>0</v>
      </c>
      <c r="H182" s="187">
        <v>0</v>
      </c>
      <c r="I182" s="187">
        <v>0</v>
      </c>
      <c r="J182" s="185"/>
      <c r="K182" s="185"/>
      <c r="L182" s="185"/>
    </row>
    <row r="183" spans="1:12" ht="15" customHeight="1" x14ac:dyDescent="0.25">
      <c r="A183" s="200" t="s">
        <v>424</v>
      </c>
      <c r="B183" s="187">
        <v>15000</v>
      </c>
      <c r="C183" s="187">
        <v>0</v>
      </c>
      <c r="D183" s="187">
        <v>15000</v>
      </c>
      <c r="E183" s="187">
        <v>0</v>
      </c>
      <c r="F183" s="187">
        <v>15000</v>
      </c>
      <c r="G183" s="187">
        <v>0</v>
      </c>
      <c r="H183" s="187">
        <v>15000</v>
      </c>
      <c r="I183" s="187">
        <v>0</v>
      </c>
      <c r="J183" s="185"/>
      <c r="K183" s="185"/>
      <c r="L183" s="185"/>
    </row>
    <row r="184" spans="1:12" ht="15" customHeight="1" x14ac:dyDescent="0.25">
      <c r="A184" s="200" t="s">
        <v>425</v>
      </c>
      <c r="B184" s="187">
        <v>700000</v>
      </c>
      <c r="C184" s="187">
        <v>190000</v>
      </c>
      <c r="D184" s="187">
        <v>700000</v>
      </c>
      <c r="E184" s="187">
        <v>0</v>
      </c>
      <c r="F184" s="187">
        <v>700000</v>
      </c>
      <c r="G184" s="187">
        <v>190000</v>
      </c>
      <c r="H184" s="187">
        <v>700000</v>
      </c>
      <c r="I184" s="187">
        <v>0</v>
      </c>
      <c r="J184" s="185"/>
      <c r="K184" s="185"/>
      <c r="L184" s="185"/>
    </row>
    <row r="185" spans="1:12" ht="15" customHeight="1" x14ac:dyDescent="0.25">
      <c r="A185" s="200" t="s">
        <v>428</v>
      </c>
      <c r="B185" s="187">
        <v>420000</v>
      </c>
      <c r="C185" s="187">
        <v>190000</v>
      </c>
      <c r="D185" s="187">
        <v>166000</v>
      </c>
      <c r="E185" s="187">
        <v>254000</v>
      </c>
      <c r="F185" s="187">
        <v>420000</v>
      </c>
      <c r="G185" s="187">
        <v>190000</v>
      </c>
      <c r="H185" s="187">
        <v>166000</v>
      </c>
      <c r="I185" s="187">
        <v>254000</v>
      </c>
      <c r="J185" s="185"/>
      <c r="K185" s="185"/>
      <c r="L185" s="185"/>
    </row>
    <row r="186" spans="1:12" ht="15" customHeight="1" x14ac:dyDescent="0.25">
      <c r="A186" s="200" t="s">
        <v>561</v>
      </c>
      <c r="B186" s="187">
        <v>150000</v>
      </c>
      <c r="C186" s="187">
        <v>150000</v>
      </c>
      <c r="D186" s="187">
        <v>150000</v>
      </c>
      <c r="E186" s="187">
        <v>0</v>
      </c>
      <c r="F186" s="187">
        <v>150000</v>
      </c>
      <c r="G186" s="187">
        <v>150000</v>
      </c>
      <c r="H186" s="187">
        <v>150000</v>
      </c>
      <c r="I186" s="187">
        <v>0</v>
      </c>
      <c r="J186" s="185"/>
      <c r="K186" s="185"/>
      <c r="L186" s="185"/>
    </row>
    <row r="187" spans="1:12" ht="15" customHeight="1" x14ac:dyDescent="0.25">
      <c r="A187" s="200" t="s">
        <v>6</v>
      </c>
      <c r="B187" s="187">
        <v>350000</v>
      </c>
      <c r="C187" s="187">
        <v>150000</v>
      </c>
      <c r="D187" s="187">
        <v>350000</v>
      </c>
      <c r="E187" s="187">
        <v>0</v>
      </c>
      <c r="F187" s="187">
        <v>350000</v>
      </c>
      <c r="G187" s="187">
        <v>150000</v>
      </c>
      <c r="H187" s="187">
        <v>350000</v>
      </c>
      <c r="I187" s="187">
        <v>0</v>
      </c>
      <c r="J187" s="185"/>
      <c r="K187" s="185"/>
      <c r="L187" s="185"/>
    </row>
    <row r="188" spans="1:12" ht="15" customHeight="1" x14ac:dyDescent="0.25">
      <c r="A188" s="200" t="s">
        <v>435</v>
      </c>
      <c r="B188" s="187">
        <v>300000</v>
      </c>
      <c r="C188" s="187">
        <v>190000</v>
      </c>
      <c r="D188" s="187">
        <v>45850</v>
      </c>
      <c r="E188" s="187">
        <v>254150</v>
      </c>
      <c r="F188" s="187">
        <v>300000</v>
      </c>
      <c r="G188" s="187">
        <v>190000</v>
      </c>
      <c r="H188" s="187">
        <v>45850</v>
      </c>
      <c r="I188" s="187">
        <v>254150</v>
      </c>
      <c r="J188" s="185"/>
      <c r="K188" s="185"/>
      <c r="L188" s="185"/>
    </row>
    <row r="189" spans="1:12" ht="15" customHeight="1" x14ac:dyDescent="0.25">
      <c r="A189" s="200" t="s">
        <v>437</v>
      </c>
      <c r="B189" s="187">
        <v>240000</v>
      </c>
      <c r="C189" s="187">
        <v>190000</v>
      </c>
      <c r="D189" s="187">
        <v>70850</v>
      </c>
      <c r="E189" s="187">
        <v>169150</v>
      </c>
      <c r="F189" s="187">
        <v>240000</v>
      </c>
      <c r="G189" s="187">
        <v>190000</v>
      </c>
      <c r="H189" s="187">
        <v>70850</v>
      </c>
      <c r="I189" s="187">
        <v>169150</v>
      </c>
      <c r="J189" s="185"/>
      <c r="K189" s="185"/>
      <c r="L189" s="185"/>
    </row>
    <row r="190" spans="1:12" ht="15" customHeight="1" x14ac:dyDescent="0.25">
      <c r="A190" s="200" t="s">
        <v>439</v>
      </c>
      <c r="B190" s="187">
        <v>450000</v>
      </c>
      <c r="C190" s="187">
        <v>230000</v>
      </c>
      <c r="D190" s="187">
        <v>110985</v>
      </c>
      <c r="E190" s="187">
        <v>339015</v>
      </c>
      <c r="F190" s="187">
        <v>450000</v>
      </c>
      <c r="G190" s="187">
        <v>230000</v>
      </c>
      <c r="H190" s="187">
        <v>110985</v>
      </c>
      <c r="I190" s="187">
        <v>339015</v>
      </c>
      <c r="J190" s="185"/>
      <c r="K190" s="185"/>
      <c r="L190" s="185"/>
    </row>
    <row r="191" spans="1:12" ht="15" customHeight="1" x14ac:dyDescent="0.25">
      <c r="A191" s="201" t="s">
        <v>442</v>
      </c>
      <c r="B191" s="187">
        <v>480000</v>
      </c>
      <c r="C191" s="187">
        <v>230000</v>
      </c>
      <c r="D191" s="187">
        <v>182000</v>
      </c>
      <c r="E191" s="187">
        <v>298000</v>
      </c>
      <c r="F191" s="187">
        <v>480000</v>
      </c>
      <c r="G191" s="187">
        <v>230000</v>
      </c>
      <c r="H191" s="187">
        <v>182000</v>
      </c>
      <c r="I191" s="187">
        <v>298000</v>
      </c>
      <c r="J191" s="185"/>
      <c r="K191" s="185"/>
      <c r="L191" s="185"/>
    </row>
    <row r="192" spans="1:12" ht="15" customHeight="1" x14ac:dyDescent="0.25">
      <c r="A192" s="200" t="s">
        <v>445</v>
      </c>
      <c r="B192" s="187">
        <v>480000</v>
      </c>
      <c r="C192" s="187">
        <v>230000</v>
      </c>
      <c r="D192" s="187">
        <v>211000</v>
      </c>
      <c r="E192" s="187">
        <v>269000</v>
      </c>
      <c r="F192" s="187">
        <v>480000</v>
      </c>
      <c r="G192" s="187">
        <v>230000</v>
      </c>
      <c r="H192" s="187">
        <v>211000</v>
      </c>
      <c r="I192" s="187">
        <v>269000</v>
      </c>
      <c r="J192" s="185"/>
      <c r="K192" s="185"/>
      <c r="L192" s="185"/>
    </row>
    <row r="193" spans="1:12" ht="15" customHeight="1" x14ac:dyDescent="0.25">
      <c r="A193" s="200" t="s">
        <v>447</v>
      </c>
      <c r="B193" s="187">
        <v>480000</v>
      </c>
      <c r="C193" s="187">
        <v>230000</v>
      </c>
      <c r="D193" s="187">
        <v>-59000</v>
      </c>
      <c r="E193" s="187">
        <v>539000</v>
      </c>
      <c r="F193" s="187">
        <v>480000</v>
      </c>
      <c r="G193" s="187">
        <v>230000</v>
      </c>
      <c r="H193" s="187">
        <v>-59000</v>
      </c>
      <c r="I193" s="187">
        <v>539000</v>
      </c>
      <c r="J193" s="185"/>
      <c r="K193" s="185"/>
      <c r="L193" s="185"/>
    </row>
    <row r="194" spans="1:12" ht="15" customHeight="1" x14ac:dyDescent="0.25">
      <c r="A194" s="200" t="s">
        <v>449</v>
      </c>
      <c r="B194" s="187">
        <v>480000</v>
      </c>
      <c r="C194" s="187">
        <v>230000</v>
      </c>
      <c r="D194" s="187">
        <v>268000</v>
      </c>
      <c r="E194" s="187">
        <v>212000</v>
      </c>
      <c r="F194" s="187">
        <v>480000</v>
      </c>
      <c r="G194" s="187">
        <v>230000</v>
      </c>
      <c r="H194" s="187">
        <v>268000</v>
      </c>
      <c r="I194" s="187">
        <v>212000</v>
      </c>
      <c r="J194" s="185"/>
      <c r="K194" s="185"/>
      <c r="L194" s="185"/>
    </row>
    <row r="195" spans="1:12" ht="15" customHeight="1" x14ac:dyDescent="0.25">
      <c r="A195" s="200" t="s">
        <v>451</v>
      </c>
      <c r="B195" s="187">
        <v>480000</v>
      </c>
      <c r="C195" s="187">
        <v>230000</v>
      </c>
      <c r="D195" s="187">
        <v>303000</v>
      </c>
      <c r="E195" s="187">
        <v>177000</v>
      </c>
      <c r="F195" s="187">
        <v>480000</v>
      </c>
      <c r="G195" s="187">
        <v>230000</v>
      </c>
      <c r="H195" s="187">
        <v>303000</v>
      </c>
      <c r="I195" s="187">
        <v>177000</v>
      </c>
      <c r="J195" s="185"/>
      <c r="K195" s="185"/>
      <c r="L195" s="185"/>
    </row>
    <row r="196" spans="1:12" ht="15" customHeight="1" x14ac:dyDescent="0.25">
      <c r="A196" s="200" t="s">
        <v>453</v>
      </c>
      <c r="B196" s="187">
        <v>830000</v>
      </c>
      <c r="C196" s="187">
        <v>230000</v>
      </c>
      <c r="D196" s="187">
        <v>249000</v>
      </c>
      <c r="E196" s="187">
        <v>581000</v>
      </c>
      <c r="F196" s="187">
        <v>830000</v>
      </c>
      <c r="G196" s="187">
        <v>230000</v>
      </c>
      <c r="H196" s="187">
        <v>249000</v>
      </c>
      <c r="I196" s="187">
        <v>581000</v>
      </c>
      <c r="J196" s="185"/>
      <c r="K196" s="185"/>
      <c r="L196" s="185"/>
    </row>
    <row r="197" spans="1:12" ht="15" customHeight="1" x14ac:dyDescent="0.25">
      <c r="A197" s="200" t="s">
        <v>455</v>
      </c>
      <c r="B197" s="187">
        <v>830000</v>
      </c>
      <c r="C197" s="187">
        <v>230000</v>
      </c>
      <c r="D197" s="187">
        <v>297000</v>
      </c>
      <c r="E197" s="187">
        <v>533000</v>
      </c>
      <c r="F197" s="187">
        <v>830000</v>
      </c>
      <c r="G197" s="187">
        <v>230000</v>
      </c>
      <c r="H197" s="187">
        <v>297000</v>
      </c>
      <c r="I197" s="187">
        <v>533000</v>
      </c>
      <c r="J197" s="185"/>
      <c r="K197" s="185"/>
      <c r="L197" s="185"/>
    </row>
    <row r="198" spans="1:12" ht="15" customHeight="1" x14ac:dyDescent="0.25">
      <c r="A198" s="200" t="s">
        <v>457</v>
      </c>
      <c r="B198" s="187">
        <v>830000</v>
      </c>
      <c r="C198" s="187">
        <v>230000</v>
      </c>
      <c r="D198" s="187">
        <v>291000</v>
      </c>
      <c r="E198" s="187">
        <v>539000</v>
      </c>
      <c r="F198" s="187">
        <v>830000</v>
      </c>
      <c r="G198" s="187">
        <v>230000</v>
      </c>
      <c r="H198" s="187">
        <v>291000</v>
      </c>
      <c r="I198" s="187">
        <v>539000</v>
      </c>
      <c r="J198" s="185"/>
      <c r="K198" s="185"/>
      <c r="L198" s="185"/>
    </row>
    <row r="199" spans="1:12" ht="15" customHeight="1" x14ac:dyDescent="0.25">
      <c r="A199" s="186" t="s">
        <v>458</v>
      </c>
      <c r="B199" s="187">
        <v>830000</v>
      </c>
      <c r="C199" s="187">
        <v>230000</v>
      </c>
      <c r="D199" s="187">
        <v>449000</v>
      </c>
      <c r="E199" s="187">
        <v>381000</v>
      </c>
      <c r="F199" s="187">
        <v>830000</v>
      </c>
      <c r="G199" s="187">
        <v>230000</v>
      </c>
      <c r="H199" s="187">
        <v>449000</v>
      </c>
      <c r="I199" s="187">
        <v>381000</v>
      </c>
      <c r="J199" s="185"/>
      <c r="K199" s="185"/>
      <c r="L199" s="185"/>
    </row>
    <row r="200" spans="1:12" ht="15" customHeight="1" x14ac:dyDescent="0.25">
      <c r="A200" s="186" t="s">
        <v>460</v>
      </c>
      <c r="B200" s="187">
        <v>830000</v>
      </c>
      <c r="C200" s="187">
        <v>230000</v>
      </c>
      <c r="D200" s="187">
        <v>486000</v>
      </c>
      <c r="E200" s="187">
        <v>344000</v>
      </c>
      <c r="F200" s="187">
        <v>830000</v>
      </c>
      <c r="G200" s="187">
        <v>230000</v>
      </c>
      <c r="H200" s="187">
        <v>486000</v>
      </c>
      <c r="I200" s="187">
        <v>344000</v>
      </c>
      <c r="J200" s="185"/>
      <c r="K200" s="185"/>
      <c r="L200" s="185"/>
    </row>
    <row r="201" spans="1:12" ht="15" customHeight="1" x14ac:dyDescent="0.25">
      <c r="A201" s="186" t="s">
        <v>461</v>
      </c>
      <c r="B201" s="187">
        <v>1015000</v>
      </c>
      <c r="C201" s="187">
        <v>300000</v>
      </c>
      <c r="D201" s="187">
        <v>220960</v>
      </c>
      <c r="E201" s="187">
        <v>794040</v>
      </c>
      <c r="F201" s="187">
        <v>1015000</v>
      </c>
      <c r="G201" s="187">
        <v>300000</v>
      </c>
      <c r="H201" s="187">
        <v>220960</v>
      </c>
      <c r="I201" s="187">
        <v>794040</v>
      </c>
      <c r="J201" s="185"/>
      <c r="K201" s="185"/>
      <c r="L201" s="185"/>
    </row>
    <row r="202" spans="1:12" ht="15" customHeight="1" x14ac:dyDescent="0.25">
      <c r="A202" s="186" t="s">
        <v>463</v>
      </c>
      <c r="B202" s="187">
        <v>490000</v>
      </c>
      <c r="C202" s="187">
        <v>230000</v>
      </c>
      <c r="D202" s="187">
        <v>320000</v>
      </c>
      <c r="E202" s="187">
        <v>170000</v>
      </c>
      <c r="F202" s="187">
        <v>490000</v>
      </c>
      <c r="G202" s="187">
        <v>230000</v>
      </c>
      <c r="H202" s="187">
        <v>320000</v>
      </c>
      <c r="I202" s="187">
        <v>170000</v>
      </c>
      <c r="J202" s="185"/>
      <c r="K202" s="185"/>
      <c r="L202" s="185"/>
    </row>
    <row r="203" spans="1:12" ht="15" customHeight="1" x14ac:dyDescent="0.25">
      <c r="A203" s="186" t="s">
        <v>466</v>
      </c>
      <c r="B203" s="187">
        <v>700000</v>
      </c>
      <c r="C203" s="187">
        <v>150000</v>
      </c>
      <c r="D203" s="187">
        <v>700000</v>
      </c>
      <c r="E203" s="187">
        <v>0</v>
      </c>
      <c r="F203" s="187">
        <v>700000</v>
      </c>
      <c r="G203" s="187">
        <v>150000</v>
      </c>
      <c r="H203" s="187">
        <v>700000</v>
      </c>
      <c r="I203" s="187">
        <v>0</v>
      </c>
      <c r="J203" s="185"/>
      <c r="K203" s="185"/>
      <c r="L203" s="185"/>
    </row>
    <row r="204" spans="1:12" ht="15" customHeight="1" x14ac:dyDescent="0.25">
      <c r="A204" s="186" t="s">
        <v>467</v>
      </c>
      <c r="B204" s="187">
        <v>437000</v>
      </c>
      <c r="C204" s="187">
        <v>150000</v>
      </c>
      <c r="D204" s="187">
        <v>125985</v>
      </c>
      <c r="E204" s="187">
        <v>254015</v>
      </c>
      <c r="F204" s="187">
        <v>437000</v>
      </c>
      <c r="G204" s="187">
        <v>150000</v>
      </c>
      <c r="H204" s="187">
        <v>125985</v>
      </c>
      <c r="I204" s="187">
        <v>254015</v>
      </c>
      <c r="J204" s="185"/>
      <c r="K204" s="185"/>
      <c r="L204" s="185"/>
    </row>
    <row r="205" spans="1:12" ht="15" customHeight="1" x14ac:dyDescent="0.25">
      <c r="A205" s="186" t="s">
        <v>468</v>
      </c>
      <c r="B205" s="187">
        <v>400000</v>
      </c>
      <c r="C205" s="187">
        <v>230000</v>
      </c>
      <c r="D205" s="187">
        <v>262400</v>
      </c>
      <c r="E205" s="187">
        <v>137600</v>
      </c>
      <c r="F205" s="187">
        <v>400000</v>
      </c>
      <c r="G205" s="187">
        <v>230000</v>
      </c>
      <c r="H205" s="187">
        <v>262400</v>
      </c>
      <c r="I205" s="187">
        <v>137600</v>
      </c>
      <c r="J205" s="185"/>
      <c r="K205" s="185"/>
      <c r="L205" s="185"/>
    </row>
    <row r="206" spans="1:12" ht="15" customHeight="1" x14ac:dyDescent="0.25">
      <c r="A206" s="186" t="s">
        <v>469</v>
      </c>
      <c r="B206" s="187">
        <v>500000</v>
      </c>
      <c r="C206" s="187">
        <v>300000</v>
      </c>
      <c r="D206" s="187">
        <v>160985</v>
      </c>
      <c r="E206" s="187">
        <v>339015</v>
      </c>
      <c r="F206" s="187">
        <v>500000</v>
      </c>
      <c r="G206" s="187">
        <v>300000</v>
      </c>
      <c r="H206" s="187">
        <v>160985</v>
      </c>
      <c r="I206" s="187">
        <v>339015</v>
      </c>
      <c r="J206" s="185"/>
      <c r="K206" s="185"/>
      <c r="L206" s="185"/>
    </row>
    <row r="207" spans="1:12" ht="15" customHeight="1" x14ac:dyDescent="0.25">
      <c r="A207" s="186" t="s">
        <v>471</v>
      </c>
      <c r="B207" s="187">
        <v>110000</v>
      </c>
      <c r="C207" s="187">
        <v>90000</v>
      </c>
      <c r="D207" s="187">
        <v>50000</v>
      </c>
      <c r="E207" s="187">
        <v>60000</v>
      </c>
      <c r="F207" s="187">
        <v>110000</v>
      </c>
      <c r="G207" s="187">
        <v>90000</v>
      </c>
      <c r="H207" s="187">
        <v>50000</v>
      </c>
      <c r="I207" s="187">
        <v>60000</v>
      </c>
      <c r="J207" s="185"/>
      <c r="K207" s="185"/>
      <c r="L207" s="185"/>
    </row>
    <row r="208" spans="1:12" ht="15" customHeight="1" x14ac:dyDescent="0.25">
      <c r="A208" s="186" t="s">
        <v>474</v>
      </c>
      <c r="B208" s="187">
        <v>300000</v>
      </c>
      <c r="C208" s="187">
        <v>230000</v>
      </c>
      <c r="D208" s="187">
        <v>100000</v>
      </c>
      <c r="E208" s="187">
        <v>200000</v>
      </c>
      <c r="F208" s="187">
        <v>300000</v>
      </c>
      <c r="G208" s="187">
        <v>230000</v>
      </c>
      <c r="H208" s="187">
        <v>100000</v>
      </c>
      <c r="I208" s="187">
        <v>200000</v>
      </c>
      <c r="J208" s="185"/>
      <c r="K208" s="185"/>
      <c r="L208" s="185"/>
    </row>
    <row r="209" spans="1:12" ht="15" customHeight="1" x14ac:dyDescent="0.25">
      <c r="A209" s="186" t="s">
        <v>477</v>
      </c>
      <c r="B209" s="187">
        <v>210000</v>
      </c>
      <c r="C209" s="187">
        <v>65000</v>
      </c>
      <c r="D209" s="187">
        <v>210000</v>
      </c>
      <c r="E209" s="187">
        <v>0</v>
      </c>
      <c r="F209" s="187">
        <v>210000</v>
      </c>
      <c r="G209" s="187">
        <v>65000</v>
      </c>
      <c r="H209" s="187">
        <v>210000</v>
      </c>
      <c r="I209" s="187">
        <v>0</v>
      </c>
      <c r="J209" s="185"/>
      <c r="K209" s="185"/>
      <c r="L209" s="185"/>
    </row>
    <row r="210" spans="1:12" ht="15" customHeight="1" x14ac:dyDescent="0.25">
      <c r="A210" s="186" t="s">
        <v>480</v>
      </c>
      <c r="B210" s="187">
        <v>210000</v>
      </c>
      <c r="C210" s="187">
        <v>63000</v>
      </c>
      <c r="D210" s="187">
        <v>210000</v>
      </c>
      <c r="E210" s="187">
        <v>0</v>
      </c>
      <c r="F210" s="187">
        <v>210000</v>
      </c>
      <c r="G210" s="187">
        <v>63000</v>
      </c>
      <c r="H210" s="187">
        <v>210000</v>
      </c>
      <c r="I210" s="187">
        <v>0</v>
      </c>
      <c r="J210" s="185"/>
      <c r="K210" s="185"/>
      <c r="L210" s="185"/>
    </row>
    <row r="211" spans="1:12" ht="15" customHeight="1" x14ac:dyDescent="0.25">
      <c r="A211" s="186" t="s">
        <v>482</v>
      </c>
      <c r="B211" s="187">
        <v>300000</v>
      </c>
      <c r="C211" s="187">
        <v>117000</v>
      </c>
      <c r="D211" s="187">
        <v>300000</v>
      </c>
      <c r="E211" s="187">
        <v>0</v>
      </c>
      <c r="F211" s="187">
        <v>300000</v>
      </c>
      <c r="G211" s="187">
        <v>117000</v>
      </c>
      <c r="H211" s="187">
        <v>300000</v>
      </c>
      <c r="I211" s="187">
        <v>0</v>
      </c>
      <c r="J211" s="185"/>
      <c r="K211" s="185"/>
      <c r="L211" s="185"/>
    </row>
    <row r="212" spans="1:12" ht="15" customHeight="1" x14ac:dyDescent="0.25">
      <c r="A212" s="186" t="s">
        <v>483</v>
      </c>
      <c r="B212" s="187">
        <v>300000</v>
      </c>
      <c r="C212" s="187">
        <v>107000</v>
      </c>
      <c r="D212" s="187">
        <v>300000</v>
      </c>
      <c r="E212" s="187">
        <v>0</v>
      </c>
      <c r="F212" s="187">
        <v>300000</v>
      </c>
      <c r="G212" s="187">
        <v>107000</v>
      </c>
      <c r="H212" s="187">
        <v>300000</v>
      </c>
      <c r="I212" s="187">
        <v>0</v>
      </c>
      <c r="J212" s="185"/>
      <c r="K212" s="185"/>
      <c r="L212" s="185"/>
    </row>
    <row r="213" spans="1:12" ht="15" customHeight="1" x14ac:dyDescent="0.25">
      <c r="A213" s="186" t="s">
        <v>484</v>
      </c>
      <c r="B213" s="187">
        <v>300000</v>
      </c>
      <c r="C213" s="187">
        <v>117000</v>
      </c>
      <c r="D213" s="187">
        <v>300000</v>
      </c>
      <c r="E213" s="187">
        <v>0</v>
      </c>
      <c r="F213" s="187">
        <v>300000</v>
      </c>
      <c r="G213" s="187">
        <v>117000</v>
      </c>
      <c r="H213" s="187">
        <v>300000</v>
      </c>
      <c r="I213" s="187">
        <v>0</v>
      </c>
      <c r="J213" s="185"/>
      <c r="K213" s="185"/>
      <c r="L213" s="185"/>
    </row>
    <row r="214" spans="1:12" ht="15" customHeight="1" x14ac:dyDescent="0.25">
      <c r="A214" s="186" t="s">
        <v>485</v>
      </c>
      <c r="B214" s="187">
        <v>300000</v>
      </c>
      <c r="C214" s="187">
        <v>107000</v>
      </c>
      <c r="D214" s="187">
        <v>300000</v>
      </c>
      <c r="E214" s="187">
        <v>0</v>
      </c>
      <c r="F214" s="187">
        <v>300000</v>
      </c>
      <c r="G214" s="187">
        <v>107000</v>
      </c>
      <c r="H214" s="187">
        <v>300000</v>
      </c>
      <c r="I214" s="187">
        <v>0</v>
      </c>
      <c r="J214" s="185"/>
      <c r="K214" s="185"/>
      <c r="L214" s="185"/>
    </row>
    <row r="215" spans="1:12" ht="15" customHeight="1" x14ac:dyDescent="0.25">
      <c r="A215" s="202" t="s">
        <v>562</v>
      </c>
      <c r="B215" s="203">
        <v>230000</v>
      </c>
      <c r="C215" s="203"/>
      <c r="D215" s="203">
        <f>B215-E215</f>
        <v>230000</v>
      </c>
      <c r="E215" s="203">
        <f>155000*0</f>
        <v>0</v>
      </c>
      <c r="F215" s="203">
        <v>230000</v>
      </c>
      <c r="G215" s="203"/>
      <c r="H215" s="203">
        <f>F215-I215</f>
        <v>230000</v>
      </c>
      <c r="I215" s="203">
        <f>155000*0</f>
        <v>0</v>
      </c>
      <c r="J215" s="203"/>
      <c r="K215" s="203"/>
      <c r="L215" s="203"/>
    </row>
    <row r="216" spans="1:12" ht="15" customHeight="1" x14ac:dyDescent="0.25">
      <c r="A216" s="204" t="s">
        <v>563</v>
      </c>
      <c r="B216" s="203">
        <v>310000</v>
      </c>
      <c r="C216" s="203"/>
      <c r="D216" s="203">
        <v>310000</v>
      </c>
      <c r="E216" s="203"/>
      <c r="F216" s="203">
        <v>310000</v>
      </c>
      <c r="G216" s="203"/>
      <c r="H216" s="203">
        <v>310000</v>
      </c>
      <c r="I216" s="203"/>
      <c r="J216" s="203"/>
      <c r="K216" s="203"/>
      <c r="L216" s="203"/>
    </row>
    <row r="217" spans="1:12" ht="15" customHeight="1" x14ac:dyDescent="0.25">
      <c r="A217" s="204" t="s">
        <v>564</v>
      </c>
      <c r="B217" s="203">
        <v>280000</v>
      </c>
      <c r="C217" s="203"/>
      <c r="D217" s="203">
        <f t="shared" ref="D217:D218" si="4">B217-E217</f>
        <v>280000</v>
      </c>
      <c r="E217" s="203">
        <f t="shared" ref="E217:E218" si="5">155000*0</f>
        <v>0</v>
      </c>
      <c r="F217" s="203">
        <v>280000</v>
      </c>
      <c r="G217" s="203"/>
      <c r="H217" s="203">
        <f t="shared" ref="H217:H218" si="6">F217-I217</f>
        <v>280000</v>
      </c>
      <c r="I217" s="203">
        <f t="shared" ref="I217:I218" si="7">155000*0</f>
        <v>0</v>
      </c>
      <c r="J217" s="203"/>
      <c r="K217" s="203"/>
      <c r="L217" s="203"/>
    </row>
    <row r="218" spans="1:12" ht="15" customHeight="1" x14ac:dyDescent="0.25">
      <c r="A218" s="204" t="s">
        <v>565</v>
      </c>
      <c r="B218" s="203">
        <v>280000</v>
      </c>
      <c r="C218" s="203"/>
      <c r="D218" s="203">
        <f t="shared" si="4"/>
        <v>280000</v>
      </c>
      <c r="E218" s="203">
        <f t="shared" si="5"/>
        <v>0</v>
      </c>
      <c r="F218" s="203">
        <v>280000</v>
      </c>
      <c r="G218" s="203"/>
      <c r="H218" s="203">
        <f t="shared" si="6"/>
        <v>280000</v>
      </c>
      <c r="I218" s="203">
        <f t="shared" si="7"/>
        <v>0</v>
      </c>
      <c r="J218" s="203"/>
      <c r="K218" s="203"/>
      <c r="L218" s="203"/>
    </row>
    <row r="219" spans="1:12" ht="15" customHeight="1" x14ac:dyDescent="0.25">
      <c r="A219" s="204" t="s">
        <v>566</v>
      </c>
      <c r="B219" s="203">
        <v>280000</v>
      </c>
      <c r="C219" s="203"/>
      <c r="D219" s="203">
        <v>280000</v>
      </c>
      <c r="E219" s="203">
        <v>0</v>
      </c>
      <c r="F219" s="203">
        <v>280000</v>
      </c>
      <c r="G219" s="203"/>
      <c r="H219" s="203">
        <v>280000</v>
      </c>
      <c r="I219" s="203">
        <v>0</v>
      </c>
      <c r="J219" s="203"/>
      <c r="K219" s="203"/>
      <c r="L219" s="203"/>
    </row>
    <row r="220" spans="1:12" ht="15" customHeight="1" x14ac:dyDescent="0.25">
      <c r="A220" s="204" t="s">
        <v>567</v>
      </c>
      <c r="B220" s="203">
        <v>280000</v>
      </c>
      <c r="C220" s="203"/>
      <c r="D220" s="203">
        <v>280000</v>
      </c>
      <c r="E220" s="203">
        <v>0</v>
      </c>
      <c r="F220" s="203">
        <v>280000</v>
      </c>
      <c r="G220" s="203"/>
      <c r="H220" s="203">
        <v>280000</v>
      </c>
      <c r="I220" s="203">
        <v>0</v>
      </c>
      <c r="J220" s="203"/>
      <c r="K220" s="203"/>
      <c r="L220" s="203"/>
    </row>
    <row r="221" spans="1:12" ht="15" customHeight="1" x14ac:dyDescent="0.25">
      <c r="A221" s="204" t="s">
        <v>568</v>
      </c>
      <c r="B221" s="203">
        <v>310000</v>
      </c>
      <c r="C221" s="203"/>
      <c r="D221" s="203">
        <f t="shared" ref="D221:D227" si="8">B221-E221</f>
        <v>310000</v>
      </c>
      <c r="E221" s="203">
        <f t="shared" ref="E221:E223" si="9">155000*0</f>
        <v>0</v>
      </c>
      <c r="F221" s="203">
        <v>310000</v>
      </c>
      <c r="G221" s="203"/>
      <c r="H221" s="203">
        <f t="shared" ref="H221:H227" si="10">F221-I221</f>
        <v>310000</v>
      </c>
      <c r="I221" s="203">
        <f t="shared" ref="I221:I223" si="11">155000*0</f>
        <v>0</v>
      </c>
      <c r="J221" s="203"/>
      <c r="K221" s="203"/>
      <c r="L221" s="203"/>
    </row>
    <row r="222" spans="1:12" ht="15" customHeight="1" x14ac:dyDescent="0.25">
      <c r="A222" s="204" t="s">
        <v>569</v>
      </c>
      <c r="B222" s="203">
        <v>280000</v>
      </c>
      <c r="C222" s="203"/>
      <c r="D222" s="203">
        <f t="shared" si="8"/>
        <v>280000</v>
      </c>
      <c r="E222" s="203">
        <f t="shared" si="9"/>
        <v>0</v>
      </c>
      <c r="F222" s="203">
        <v>280000</v>
      </c>
      <c r="G222" s="203"/>
      <c r="H222" s="203">
        <f t="shared" si="10"/>
        <v>280000</v>
      </c>
      <c r="I222" s="203">
        <f t="shared" si="11"/>
        <v>0</v>
      </c>
      <c r="J222" s="203"/>
      <c r="K222" s="203"/>
      <c r="L222" s="203"/>
    </row>
    <row r="223" spans="1:12" ht="15" customHeight="1" x14ac:dyDescent="0.25">
      <c r="A223" s="204" t="s">
        <v>570</v>
      </c>
      <c r="B223" s="203">
        <v>280000</v>
      </c>
      <c r="C223" s="203"/>
      <c r="D223" s="203">
        <f t="shared" si="8"/>
        <v>280000</v>
      </c>
      <c r="E223" s="203">
        <f t="shared" si="9"/>
        <v>0</v>
      </c>
      <c r="F223" s="203">
        <v>280000</v>
      </c>
      <c r="G223" s="203"/>
      <c r="H223" s="203">
        <f t="shared" si="10"/>
        <v>280000</v>
      </c>
      <c r="I223" s="203">
        <f t="shared" si="11"/>
        <v>0</v>
      </c>
      <c r="J223" s="203"/>
      <c r="K223" s="203"/>
      <c r="L223" s="203"/>
    </row>
    <row r="224" spans="1:12" ht="15" customHeight="1" x14ac:dyDescent="0.25">
      <c r="A224" s="202" t="s">
        <v>571</v>
      </c>
      <c r="B224" s="203">
        <v>200000</v>
      </c>
      <c r="C224" s="203"/>
      <c r="D224" s="203">
        <f t="shared" si="8"/>
        <v>70000</v>
      </c>
      <c r="E224" s="203">
        <v>130000</v>
      </c>
      <c r="F224" s="203">
        <v>200000</v>
      </c>
      <c r="G224" s="203"/>
      <c r="H224" s="203">
        <f t="shared" si="10"/>
        <v>70000</v>
      </c>
      <c r="I224" s="203">
        <v>130000</v>
      </c>
      <c r="J224" s="203"/>
      <c r="K224" s="203"/>
      <c r="L224" s="203"/>
    </row>
    <row r="225" spans="1:12" ht="15" customHeight="1" x14ac:dyDescent="0.25">
      <c r="A225" s="202" t="s">
        <v>547</v>
      </c>
      <c r="B225" s="203">
        <v>450000</v>
      </c>
      <c r="C225" s="203"/>
      <c r="D225" s="203">
        <f t="shared" si="8"/>
        <v>180000</v>
      </c>
      <c r="E225" s="203">
        <v>270000</v>
      </c>
      <c r="F225" s="203">
        <v>450000</v>
      </c>
      <c r="G225" s="203"/>
      <c r="H225" s="203">
        <f t="shared" si="10"/>
        <v>180000</v>
      </c>
      <c r="I225" s="203">
        <v>270000</v>
      </c>
      <c r="J225" s="203"/>
      <c r="K225" s="203"/>
      <c r="L225" s="203"/>
    </row>
    <row r="226" spans="1:12" ht="15" customHeight="1" x14ac:dyDescent="0.25">
      <c r="A226" s="204" t="s">
        <v>572</v>
      </c>
      <c r="B226" s="203">
        <v>0</v>
      </c>
      <c r="C226" s="203"/>
      <c r="D226" s="203">
        <f t="shared" si="8"/>
        <v>-170000</v>
      </c>
      <c r="E226" s="203">
        <v>170000</v>
      </c>
      <c r="F226" s="203">
        <v>0</v>
      </c>
      <c r="G226" s="203"/>
      <c r="H226" s="203">
        <f t="shared" si="10"/>
        <v>-170000</v>
      </c>
      <c r="I226" s="203">
        <v>170000</v>
      </c>
      <c r="J226" s="203"/>
      <c r="K226" s="203"/>
      <c r="L226" s="203"/>
    </row>
    <row r="227" spans="1:12" ht="15" customHeight="1" x14ac:dyDescent="0.25">
      <c r="A227" s="204" t="s">
        <v>573</v>
      </c>
      <c r="B227" s="203">
        <v>0</v>
      </c>
      <c r="C227" s="203"/>
      <c r="D227" s="203">
        <f t="shared" si="8"/>
        <v>0</v>
      </c>
      <c r="E227" s="203">
        <v>0</v>
      </c>
      <c r="F227" s="203">
        <v>0</v>
      </c>
      <c r="G227" s="203"/>
      <c r="H227" s="203">
        <f t="shared" si="10"/>
        <v>0</v>
      </c>
      <c r="I227" s="203">
        <v>0</v>
      </c>
      <c r="J227" s="203"/>
      <c r="K227" s="203"/>
      <c r="L227" s="203"/>
    </row>
    <row r="228" spans="1:12" ht="15" customHeight="1" x14ac:dyDescent="0.25">
      <c r="A228" s="202"/>
      <c r="B228" s="205"/>
      <c r="C228" s="205"/>
      <c r="D228" s="203"/>
      <c r="E228" s="205"/>
      <c r="F228" s="205"/>
      <c r="G228" s="205"/>
      <c r="H228" s="203"/>
      <c r="I228" s="205"/>
      <c r="J228" s="205"/>
      <c r="K228" s="206"/>
      <c r="L228" s="206"/>
    </row>
    <row r="229" spans="1:12" ht="15" customHeight="1" x14ac:dyDescent="0.25">
      <c r="A229" s="202" t="s">
        <v>409</v>
      </c>
      <c r="B229" s="203">
        <v>150000</v>
      </c>
      <c r="C229" s="203">
        <v>70000</v>
      </c>
      <c r="D229" s="203">
        <f t="shared" ref="D229:D233" si="12">B229-E229</f>
        <v>100000</v>
      </c>
      <c r="E229" s="203">
        <v>50000</v>
      </c>
      <c r="F229" s="203">
        <v>150000</v>
      </c>
      <c r="G229" s="203">
        <v>70000</v>
      </c>
      <c r="H229" s="203">
        <f t="shared" ref="H229:H233" si="13">F229-I229</f>
        <v>100000</v>
      </c>
      <c r="I229" s="203">
        <v>50000</v>
      </c>
      <c r="J229" s="203"/>
      <c r="K229" s="207"/>
      <c r="L229" s="207"/>
    </row>
    <row r="230" spans="1:12" ht="15" customHeight="1" x14ac:dyDescent="0.25">
      <c r="A230" s="202" t="s">
        <v>412</v>
      </c>
      <c r="B230" s="203">
        <v>115000</v>
      </c>
      <c r="C230" s="203">
        <v>70000</v>
      </c>
      <c r="D230" s="203">
        <f t="shared" si="12"/>
        <v>80000</v>
      </c>
      <c r="E230" s="203">
        <v>35000</v>
      </c>
      <c r="F230" s="203">
        <v>115000</v>
      </c>
      <c r="G230" s="203">
        <v>70000</v>
      </c>
      <c r="H230" s="203">
        <f t="shared" si="13"/>
        <v>80000</v>
      </c>
      <c r="I230" s="203">
        <v>35000</v>
      </c>
      <c r="J230" s="203"/>
      <c r="K230" s="207"/>
      <c r="L230" s="207"/>
    </row>
    <row r="231" spans="1:12" ht="15" customHeight="1" x14ac:dyDescent="0.25">
      <c r="A231" s="202" t="s">
        <v>413</v>
      </c>
      <c r="B231" s="205">
        <v>200000</v>
      </c>
      <c r="C231" s="205">
        <v>109000</v>
      </c>
      <c r="D231" s="203">
        <f t="shared" si="12"/>
        <v>101000</v>
      </c>
      <c r="E231" s="205">
        <v>99000</v>
      </c>
      <c r="F231" s="205">
        <v>200000</v>
      </c>
      <c r="G231" s="205">
        <v>109000</v>
      </c>
      <c r="H231" s="203">
        <f t="shared" si="13"/>
        <v>101000</v>
      </c>
      <c r="I231" s="205">
        <v>99000</v>
      </c>
      <c r="J231" s="205"/>
      <c r="K231" s="206"/>
      <c r="L231" s="206"/>
    </row>
    <row r="232" spans="1:12" ht="15" customHeight="1" x14ac:dyDescent="0.25">
      <c r="A232" s="202" t="s">
        <v>416</v>
      </c>
      <c r="B232" s="205">
        <v>430000</v>
      </c>
      <c r="C232" s="205"/>
      <c r="D232" s="203">
        <f t="shared" si="12"/>
        <v>125000</v>
      </c>
      <c r="E232" s="205">
        <f>320000-15000</f>
        <v>305000</v>
      </c>
      <c r="F232" s="205">
        <v>430000</v>
      </c>
      <c r="G232" s="205"/>
      <c r="H232" s="203">
        <f t="shared" si="13"/>
        <v>125000</v>
      </c>
      <c r="I232" s="205">
        <f>320000-15000</f>
        <v>305000</v>
      </c>
      <c r="J232" s="205"/>
      <c r="K232" s="206"/>
      <c r="L232" s="206"/>
    </row>
    <row r="233" spans="1:12" ht="15" customHeight="1" x14ac:dyDescent="0.25">
      <c r="A233" s="202" t="s">
        <v>417</v>
      </c>
      <c r="B233" s="205">
        <v>350000</v>
      </c>
      <c r="C233" s="205"/>
      <c r="D233" s="203">
        <f t="shared" si="12"/>
        <v>115000</v>
      </c>
      <c r="E233" s="205">
        <f>250000-15000</f>
        <v>235000</v>
      </c>
      <c r="F233" s="205">
        <v>350000</v>
      </c>
      <c r="G233" s="205"/>
      <c r="H233" s="203">
        <f t="shared" si="13"/>
        <v>115000</v>
      </c>
      <c r="I233" s="205">
        <f>250000-15000</f>
        <v>235000</v>
      </c>
      <c r="J233" s="205"/>
      <c r="K233" s="206"/>
      <c r="L233" s="206"/>
    </row>
    <row r="234" spans="1:12" ht="15.75" customHeight="1" x14ac:dyDescent="0.25">
      <c r="A234" s="202" t="s">
        <v>418</v>
      </c>
      <c r="B234" s="205">
        <v>210000</v>
      </c>
      <c r="C234" s="205">
        <v>110000</v>
      </c>
      <c r="D234" s="203">
        <f t="shared" ref="D234:D235" si="14">+B234-E234</f>
        <v>100000</v>
      </c>
      <c r="E234" s="205">
        <v>110000</v>
      </c>
      <c r="F234" s="205">
        <v>210000</v>
      </c>
      <c r="G234" s="205">
        <v>110000</v>
      </c>
      <c r="H234" s="203">
        <f t="shared" ref="H234:H235" si="15">+F234-I234</f>
        <v>100000</v>
      </c>
      <c r="I234" s="205">
        <v>110000</v>
      </c>
      <c r="J234" s="205"/>
      <c r="K234" s="206"/>
      <c r="L234" s="206"/>
    </row>
    <row r="235" spans="1:12" ht="15.75" customHeight="1" x14ac:dyDescent="0.25">
      <c r="A235" s="202" t="s">
        <v>421</v>
      </c>
      <c r="B235" s="205">
        <v>280000</v>
      </c>
      <c r="C235" s="205"/>
      <c r="D235" s="203">
        <f t="shared" si="14"/>
        <v>120000</v>
      </c>
      <c r="E235" s="205">
        <v>160000</v>
      </c>
      <c r="F235" s="205">
        <v>280000</v>
      </c>
      <c r="G235" s="205"/>
      <c r="H235" s="203">
        <f t="shared" si="15"/>
        <v>120000</v>
      </c>
      <c r="I235" s="205">
        <v>160000</v>
      </c>
      <c r="J235" s="205"/>
      <c r="K235" s="206"/>
      <c r="L235" s="206"/>
    </row>
    <row r="236" spans="1:12" ht="15.75" customHeight="1" x14ac:dyDescent="0.25">
      <c r="A236" s="202"/>
      <c r="B236" s="205"/>
      <c r="C236" s="205"/>
      <c r="D236" s="203"/>
      <c r="E236" s="205"/>
      <c r="F236" s="205"/>
      <c r="G236" s="205"/>
      <c r="H236" s="203"/>
      <c r="I236" s="205"/>
      <c r="J236" s="205"/>
      <c r="K236" s="206"/>
      <c r="L236" s="206"/>
    </row>
    <row r="237" spans="1:12" ht="15.75" customHeight="1" x14ac:dyDescent="0.25">
      <c r="A237" s="202" t="s">
        <v>424</v>
      </c>
      <c r="B237" s="205">
        <v>15000</v>
      </c>
      <c r="C237" s="205"/>
      <c r="D237" s="203">
        <v>15000</v>
      </c>
      <c r="E237" s="205"/>
      <c r="F237" s="205">
        <v>15000</v>
      </c>
      <c r="G237" s="205"/>
      <c r="H237" s="203">
        <v>15000</v>
      </c>
      <c r="I237" s="205"/>
      <c r="J237" s="205"/>
      <c r="K237" s="206"/>
      <c r="L237" s="206"/>
    </row>
    <row r="238" spans="1:12" ht="15.75" customHeight="1" x14ac:dyDescent="0.25">
      <c r="A238" s="208" t="s">
        <v>425</v>
      </c>
      <c r="B238" s="203">
        <v>700000</v>
      </c>
      <c r="C238" s="203">
        <v>190000</v>
      </c>
      <c r="D238" s="203">
        <f t="shared" ref="D238:D241" si="16">B238-E238</f>
        <v>700000</v>
      </c>
      <c r="E238" s="203">
        <v>0</v>
      </c>
      <c r="F238" s="203">
        <v>700000</v>
      </c>
      <c r="G238" s="203">
        <v>190000</v>
      </c>
      <c r="H238" s="203">
        <f t="shared" ref="H238:H241" si="17">F238-I238</f>
        <v>700000</v>
      </c>
      <c r="I238" s="203">
        <v>0</v>
      </c>
      <c r="J238" s="203"/>
      <c r="K238" s="207"/>
      <c r="L238" s="207"/>
    </row>
    <row r="239" spans="1:12" ht="15.75" customHeight="1" x14ac:dyDescent="0.25">
      <c r="A239" s="208" t="s">
        <v>428</v>
      </c>
      <c r="B239" s="203">
        <v>320000</v>
      </c>
      <c r="C239" s="203">
        <v>190000</v>
      </c>
      <c r="D239" s="203">
        <f t="shared" si="16"/>
        <v>116000</v>
      </c>
      <c r="E239" s="203">
        <v>204000</v>
      </c>
      <c r="F239" s="203">
        <v>320000</v>
      </c>
      <c r="G239" s="203">
        <v>190000</v>
      </c>
      <c r="H239" s="203">
        <f t="shared" si="17"/>
        <v>116000</v>
      </c>
      <c r="I239" s="203">
        <v>204000</v>
      </c>
      <c r="J239" s="203"/>
      <c r="K239" s="207"/>
      <c r="L239" s="207"/>
    </row>
    <row r="240" spans="1:12" ht="15.75" customHeight="1" x14ac:dyDescent="0.25">
      <c r="A240" s="208" t="s">
        <v>489</v>
      </c>
      <c r="B240" s="203">
        <v>350000</v>
      </c>
      <c r="C240" s="203">
        <v>300000</v>
      </c>
      <c r="D240" s="203">
        <f t="shared" si="16"/>
        <v>80000</v>
      </c>
      <c r="E240" s="203">
        <f>+C240-30000</f>
        <v>270000</v>
      </c>
      <c r="F240" s="203">
        <v>350000</v>
      </c>
      <c r="G240" s="203">
        <v>300000</v>
      </c>
      <c r="H240" s="203">
        <f t="shared" si="17"/>
        <v>80000</v>
      </c>
      <c r="I240" s="203">
        <f>+G240-30000</f>
        <v>270000</v>
      </c>
      <c r="J240" s="203"/>
      <c r="K240" s="207"/>
      <c r="L240" s="207"/>
    </row>
    <row r="241" spans="1:12" ht="15.75" customHeight="1" x14ac:dyDescent="0.25">
      <c r="A241" s="208" t="s">
        <v>491</v>
      </c>
      <c r="B241" s="203">
        <v>310000</v>
      </c>
      <c r="C241" s="203">
        <v>230000</v>
      </c>
      <c r="D241" s="203">
        <f t="shared" si="16"/>
        <v>106000</v>
      </c>
      <c r="E241" s="203">
        <v>204000</v>
      </c>
      <c r="F241" s="203">
        <v>310000</v>
      </c>
      <c r="G241" s="203">
        <v>230000</v>
      </c>
      <c r="H241" s="203">
        <f t="shared" si="17"/>
        <v>106000</v>
      </c>
      <c r="I241" s="203">
        <v>204000</v>
      </c>
      <c r="J241" s="203"/>
      <c r="K241" s="207"/>
      <c r="L241" s="207"/>
    </row>
    <row r="242" spans="1:12" ht="15.75" customHeight="1" x14ac:dyDescent="0.25">
      <c r="A242" s="208" t="s">
        <v>466</v>
      </c>
      <c r="B242" s="203">
        <v>700000</v>
      </c>
      <c r="C242" s="203">
        <v>150000</v>
      </c>
      <c r="D242" s="203">
        <v>700000</v>
      </c>
      <c r="E242" s="203">
        <v>0</v>
      </c>
      <c r="F242" s="203">
        <v>700000</v>
      </c>
      <c r="G242" s="203">
        <v>150000</v>
      </c>
      <c r="H242" s="203">
        <v>700000</v>
      </c>
      <c r="I242" s="203">
        <v>0</v>
      </c>
      <c r="J242" s="203"/>
      <c r="K242" s="207"/>
      <c r="L242" s="207"/>
    </row>
    <row r="243" spans="1:12" ht="15.75" customHeight="1" x14ac:dyDescent="0.25">
      <c r="A243" s="208" t="s">
        <v>467</v>
      </c>
      <c r="B243" s="203">
        <v>290000</v>
      </c>
      <c r="C243" s="203">
        <v>150000</v>
      </c>
      <c r="D243" s="203">
        <f t="shared" ref="D243:D246" si="18">B243-E243</f>
        <v>86000</v>
      </c>
      <c r="E243" s="203">
        <v>204000</v>
      </c>
      <c r="F243" s="203">
        <v>290000</v>
      </c>
      <c r="G243" s="203">
        <v>150000</v>
      </c>
      <c r="H243" s="203">
        <f t="shared" ref="H243:H246" si="19">F243-I243</f>
        <v>86000</v>
      </c>
      <c r="I243" s="203">
        <v>204000</v>
      </c>
      <c r="J243" s="203"/>
      <c r="K243" s="207"/>
      <c r="L243" s="207"/>
    </row>
    <row r="244" spans="1:12" ht="15.75" customHeight="1" x14ac:dyDescent="0.25">
      <c r="A244" s="208" t="s">
        <v>469</v>
      </c>
      <c r="B244" s="203">
        <v>420000</v>
      </c>
      <c r="C244" s="203">
        <v>300000</v>
      </c>
      <c r="D244" s="203">
        <f t="shared" si="18"/>
        <v>116000</v>
      </c>
      <c r="E244" s="203">
        <v>304000</v>
      </c>
      <c r="F244" s="203">
        <v>420000</v>
      </c>
      <c r="G244" s="203">
        <v>300000</v>
      </c>
      <c r="H244" s="203">
        <f t="shared" si="19"/>
        <v>116000</v>
      </c>
      <c r="I244" s="203">
        <v>304000</v>
      </c>
      <c r="J244" s="203"/>
      <c r="K244" s="207"/>
      <c r="L244" s="207"/>
    </row>
    <row r="245" spans="1:12" ht="15.75" customHeight="1" x14ac:dyDescent="0.25">
      <c r="A245" s="208" t="s">
        <v>471</v>
      </c>
      <c r="B245" s="203">
        <v>110000</v>
      </c>
      <c r="C245" s="203">
        <v>90000</v>
      </c>
      <c r="D245" s="203">
        <f t="shared" si="18"/>
        <v>50000</v>
      </c>
      <c r="E245" s="203">
        <f t="shared" ref="E245:E246" si="20">+C245-30000</f>
        <v>60000</v>
      </c>
      <c r="F245" s="203">
        <v>110000</v>
      </c>
      <c r="G245" s="203">
        <v>90000</v>
      </c>
      <c r="H245" s="203">
        <f t="shared" si="19"/>
        <v>50000</v>
      </c>
      <c r="I245" s="203">
        <f t="shared" ref="I245:I246" si="21">+G245-30000</f>
        <v>60000</v>
      </c>
      <c r="J245" s="203"/>
      <c r="K245" s="207"/>
      <c r="L245" s="207"/>
    </row>
    <row r="246" spans="1:12" ht="15.75" customHeight="1" x14ac:dyDescent="0.25">
      <c r="A246" s="208" t="s">
        <v>474</v>
      </c>
      <c r="B246" s="203">
        <v>300000</v>
      </c>
      <c r="C246" s="203">
        <v>230000</v>
      </c>
      <c r="D246" s="203">
        <f t="shared" si="18"/>
        <v>100000</v>
      </c>
      <c r="E246" s="203">
        <f t="shared" si="20"/>
        <v>200000</v>
      </c>
      <c r="F246" s="203">
        <v>300000</v>
      </c>
      <c r="G246" s="203">
        <v>230000</v>
      </c>
      <c r="H246" s="203">
        <f t="shared" si="19"/>
        <v>100000</v>
      </c>
      <c r="I246" s="203">
        <f t="shared" si="21"/>
        <v>200000</v>
      </c>
      <c r="J246" s="203"/>
      <c r="K246" s="207"/>
      <c r="L246" s="207"/>
    </row>
    <row r="247" spans="1:12" ht="17.25" customHeight="1" x14ac:dyDescent="0.25">
      <c r="A247" s="202" t="s">
        <v>477</v>
      </c>
      <c r="B247" s="209">
        <v>180000</v>
      </c>
      <c r="C247" s="209">
        <v>65000</v>
      </c>
      <c r="D247" s="209">
        <f t="shared" ref="D247:D258" si="22">+B247</f>
        <v>180000</v>
      </c>
      <c r="E247" s="209">
        <v>0</v>
      </c>
      <c r="F247" s="209">
        <v>180000</v>
      </c>
      <c r="G247" s="209">
        <v>65000</v>
      </c>
      <c r="H247" s="209">
        <f t="shared" ref="H247:H258" si="23">+F247</f>
        <v>180000</v>
      </c>
      <c r="I247" s="209">
        <v>0</v>
      </c>
      <c r="J247" s="209"/>
      <c r="K247" s="210"/>
      <c r="L247" s="210"/>
    </row>
    <row r="248" spans="1:12" ht="15.75" customHeight="1" x14ac:dyDescent="0.25">
      <c r="A248" s="202" t="s">
        <v>480</v>
      </c>
      <c r="B248" s="209">
        <v>180000</v>
      </c>
      <c r="C248" s="209">
        <v>63000</v>
      </c>
      <c r="D248" s="209">
        <f t="shared" si="22"/>
        <v>180000</v>
      </c>
      <c r="E248" s="209">
        <v>95000</v>
      </c>
      <c r="F248" s="209">
        <v>180000</v>
      </c>
      <c r="G248" s="209">
        <v>63000</v>
      </c>
      <c r="H248" s="209">
        <f t="shared" si="23"/>
        <v>180000</v>
      </c>
      <c r="I248" s="209">
        <v>95000</v>
      </c>
      <c r="J248" s="209"/>
      <c r="K248" s="210"/>
      <c r="L248" s="210"/>
    </row>
    <row r="249" spans="1:12" ht="15.75" customHeight="1" x14ac:dyDescent="0.25">
      <c r="A249" s="180" t="s">
        <v>482</v>
      </c>
      <c r="B249" s="209">
        <v>240000</v>
      </c>
      <c r="C249" s="209">
        <v>117000</v>
      </c>
      <c r="D249" s="209">
        <f t="shared" si="22"/>
        <v>240000</v>
      </c>
      <c r="E249" s="209">
        <v>0</v>
      </c>
      <c r="F249" s="209">
        <v>240000</v>
      </c>
      <c r="G249" s="209">
        <v>117000</v>
      </c>
      <c r="H249" s="209">
        <f t="shared" si="23"/>
        <v>240000</v>
      </c>
      <c r="I249" s="209">
        <v>0</v>
      </c>
      <c r="J249" s="209"/>
      <c r="K249" s="210"/>
      <c r="L249" s="210"/>
    </row>
    <row r="250" spans="1:12" ht="15.75" customHeight="1" x14ac:dyDescent="0.25">
      <c r="A250" s="180" t="s">
        <v>483</v>
      </c>
      <c r="B250" s="209">
        <v>240000</v>
      </c>
      <c r="C250" s="209">
        <v>107000</v>
      </c>
      <c r="D250" s="209">
        <f t="shared" si="22"/>
        <v>240000</v>
      </c>
      <c r="E250" s="209">
        <v>163000</v>
      </c>
      <c r="F250" s="209">
        <v>240000</v>
      </c>
      <c r="G250" s="209">
        <v>107000</v>
      </c>
      <c r="H250" s="209">
        <f t="shared" si="23"/>
        <v>240000</v>
      </c>
      <c r="I250" s="209">
        <v>163000</v>
      </c>
      <c r="J250" s="209"/>
      <c r="K250" s="210"/>
      <c r="L250" s="210"/>
    </row>
    <row r="251" spans="1:12" ht="15.75" customHeight="1" x14ac:dyDescent="0.25">
      <c r="A251" s="180" t="s">
        <v>504</v>
      </c>
      <c r="B251" s="209">
        <v>300000</v>
      </c>
      <c r="C251" s="209">
        <v>133000</v>
      </c>
      <c r="D251" s="209">
        <f t="shared" si="22"/>
        <v>300000</v>
      </c>
      <c r="E251" s="209">
        <v>0</v>
      </c>
      <c r="F251" s="209">
        <v>300000</v>
      </c>
      <c r="G251" s="209">
        <v>133000</v>
      </c>
      <c r="H251" s="209">
        <f t="shared" si="23"/>
        <v>300000</v>
      </c>
      <c r="I251" s="209">
        <v>0</v>
      </c>
      <c r="J251" s="209"/>
      <c r="K251" s="210"/>
      <c r="L251" s="210"/>
    </row>
    <row r="252" spans="1:12" ht="15.75" customHeight="1" x14ac:dyDescent="0.25">
      <c r="A252" s="180" t="s">
        <v>506</v>
      </c>
      <c r="B252" s="209">
        <v>300000</v>
      </c>
      <c r="C252" s="209">
        <v>127000</v>
      </c>
      <c r="D252" s="209">
        <f t="shared" si="22"/>
        <v>300000</v>
      </c>
      <c r="E252" s="209">
        <v>235000</v>
      </c>
      <c r="F252" s="209">
        <v>300000</v>
      </c>
      <c r="G252" s="209">
        <v>127000</v>
      </c>
      <c r="H252" s="209">
        <f t="shared" si="23"/>
        <v>300000</v>
      </c>
      <c r="I252" s="209">
        <v>235000</v>
      </c>
      <c r="J252" s="209"/>
      <c r="K252" s="210"/>
      <c r="L252" s="210"/>
    </row>
    <row r="253" spans="1:12" ht="17.25" customHeight="1" x14ac:dyDescent="0.25">
      <c r="A253" s="204" t="s">
        <v>508</v>
      </c>
      <c r="B253" s="203">
        <v>180000</v>
      </c>
      <c r="C253" s="203">
        <v>65000</v>
      </c>
      <c r="D253" s="203">
        <f t="shared" si="22"/>
        <v>180000</v>
      </c>
      <c r="E253" s="203">
        <v>0</v>
      </c>
      <c r="F253" s="203">
        <v>180000</v>
      </c>
      <c r="G253" s="203">
        <v>65000</v>
      </c>
      <c r="H253" s="203">
        <f t="shared" si="23"/>
        <v>180000</v>
      </c>
      <c r="I253" s="203">
        <v>0</v>
      </c>
      <c r="J253" s="203"/>
      <c r="K253" s="207"/>
      <c r="L253" s="207"/>
    </row>
    <row r="254" spans="1:12" ht="15.75" customHeight="1" x14ac:dyDescent="0.25">
      <c r="A254" s="204" t="s">
        <v>509</v>
      </c>
      <c r="B254" s="203">
        <v>180000</v>
      </c>
      <c r="C254" s="203">
        <v>63000</v>
      </c>
      <c r="D254" s="203">
        <f t="shared" si="22"/>
        <v>180000</v>
      </c>
      <c r="E254" s="203">
        <v>95000</v>
      </c>
      <c r="F254" s="203">
        <v>180000</v>
      </c>
      <c r="G254" s="203">
        <v>63000</v>
      </c>
      <c r="H254" s="203">
        <f t="shared" si="23"/>
        <v>180000</v>
      </c>
      <c r="I254" s="203">
        <v>95000</v>
      </c>
      <c r="J254" s="203"/>
      <c r="K254" s="207"/>
      <c r="L254" s="207"/>
    </row>
    <row r="255" spans="1:12" ht="15.75" customHeight="1" x14ac:dyDescent="0.25">
      <c r="A255" s="211" t="s">
        <v>510</v>
      </c>
      <c r="B255" s="203">
        <v>240000</v>
      </c>
      <c r="C255" s="203">
        <v>117000</v>
      </c>
      <c r="D255" s="203">
        <f t="shared" si="22"/>
        <v>240000</v>
      </c>
      <c r="E255" s="203">
        <v>0</v>
      </c>
      <c r="F255" s="203">
        <v>240000</v>
      </c>
      <c r="G255" s="203">
        <v>117000</v>
      </c>
      <c r="H255" s="203">
        <f t="shared" si="23"/>
        <v>240000</v>
      </c>
      <c r="I255" s="203">
        <v>0</v>
      </c>
      <c r="J255" s="203"/>
      <c r="K255" s="207"/>
      <c r="L255" s="207"/>
    </row>
    <row r="256" spans="1:12" ht="15.75" customHeight="1" x14ac:dyDescent="0.25">
      <c r="A256" s="211" t="s">
        <v>511</v>
      </c>
      <c r="B256" s="203">
        <v>240000</v>
      </c>
      <c r="C256" s="203">
        <v>107000</v>
      </c>
      <c r="D256" s="203">
        <f t="shared" si="22"/>
        <v>240000</v>
      </c>
      <c r="E256" s="203">
        <v>163000</v>
      </c>
      <c r="F256" s="203">
        <v>240000</v>
      </c>
      <c r="G256" s="203">
        <v>107000</v>
      </c>
      <c r="H256" s="203">
        <f t="shared" si="23"/>
        <v>240000</v>
      </c>
      <c r="I256" s="203">
        <v>163000</v>
      </c>
      <c r="J256" s="203"/>
      <c r="K256" s="207"/>
      <c r="L256" s="207"/>
    </row>
    <row r="257" spans="1:12" ht="15.75" customHeight="1" x14ac:dyDescent="0.25">
      <c r="A257" s="211" t="s">
        <v>512</v>
      </c>
      <c r="B257" s="203">
        <v>300000</v>
      </c>
      <c r="C257" s="203">
        <v>133000</v>
      </c>
      <c r="D257" s="203">
        <f t="shared" si="22"/>
        <v>300000</v>
      </c>
      <c r="E257" s="203">
        <v>0</v>
      </c>
      <c r="F257" s="203">
        <v>300000</v>
      </c>
      <c r="G257" s="203">
        <v>133000</v>
      </c>
      <c r="H257" s="203">
        <f t="shared" si="23"/>
        <v>300000</v>
      </c>
      <c r="I257" s="203">
        <v>0</v>
      </c>
      <c r="J257" s="203"/>
      <c r="K257" s="207"/>
      <c r="L257" s="207"/>
    </row>
    <row r="258" spans="1:12" ht="15.75" customHeight="1" x14ac:dyDescent="0.25">
      <c r="A258" s="211" t="s">
        <v>513</v>
      </c>
      <c r="B258" s="203">
        <v>300000</v>
      </c>
      <c r="C258" s="203">
        <v>127000</v>
      </c>
      <c r="D258" s="203">
        <f t="shared" si="22"/>
        <v>300000</v>
      </c>
      <c r="E258" s="203">
        <v>235000</v>
      </c>
      <c r="F258" s="203">
        <v>300000</v>
      </c>
      <c r="G258" s="203">
        <v>127000</v>
      </c>
      <c r="H258" s="203">
        <f t="shared" si="23"/>
        <v>300000</v>
      </c>
      <c r="I258" s="203">
        <v>235000</v>
      </c>
      <c r="J258" s="203"/>
      <c r="K258" s="207"/>
      <c r="L258" s="207"/>
    </row>
    <row r="259" spans="1:12" ht="15.75" customHeight="1" x14ac:dyDescent="0.25">
      <c r="A259" s="202" t="s">
        <v>14</v>
      </c>
      <c r="B259" s="203">
        <v>1700000</v>
      </c>
      <c r="C259" s="203"/>
      <c r="D259" s="203">
        <f t="shared" ref="D259:D260" si="24">+B259-E259</f>
        <v>520000</v>
      </c>
      <c r="E259" s="203">
        <v>1180000</v>
      </c>
      <c r="F259" s="203">
        <v>1700000</v>
      </c>
      <c r="G259" s="203"/>
      <c r="H259" s="203">
        <f t="shared" ref="H259:H260" si="25">+F259-I259</f>
        <v>520000</v>
      </c>
      <c r="I259" s="203">
        <v>1180000</v>
      </c>
      <c r="J259" s="203"/>
      <c r="K259" s="207"/>
      <c r="L259" s="207"/>
    </row>
    <row r="260" spans="1:12" ht="15.75" customHeight="1" x14ac:dyDescent="0.25">
      <c r="A260" s="202" t="s">
        <v>516</v>
      </c>
      <c r="B260" s="203">
        <v>390000</v>
      </c>
      <c r="C260" s="203"/>
      <c r="D260" s="203">
        <f t="shared" si="24"/>
        <v>100000</v>
      </c>
      <c r="E260" s="203">
        <v>290000</v>
      </c>
      <c r="F260" s="203">
        <v>390000</v>
      </c>
      <c r="G260" s="203"/>
      <c r="H260" s="203">
        <f t="shared" si="25"/>
        <v>100000</v>
      </c>
      <c r="I260" s="203">
        <v>290000</v>
      </c>
      <c r="J260" s="203"/>
      <c r="K260" s="207"/>
      <c r="L260" s="207"/>
    </row>
    <row r="261" spans="1:12" ht="14.25" customHeight="1" x14ac:dyDescent="0.25">
      <c r="A261" s="202" t="s">
        <v>518</v>
      </c>
      <c r="B261" s="203">
        <v>2850000</v>
      </c>
      <c r="C261" s="203"/>
      <c r="D261" s="203">
        <v>2850000</v>
      </c>
      <c r="E261" s="203">
        <v>0</v>
      </c>
      <c r="F261" s="203">
        <v>2850000</v>
      </c>
      <c r="G261" s="203"/>
      <c r="H261" s="203">
        <v>2850000</v>
      </c>
      <c r="I261" s="203">
        <v>0</v>
      </c>
      <c r="J261" s="203"/>
      <c r="K261" s="207"/>
      <c r="L261" s="207"/>
    </row>
    <row r="262" spans="1:12" ht="14.25" customHeight="1" x14ac:dyDescent="0.25">
      <c r="A262" s="202" t="s">
        <v>389</v>
      </c>
      <c r="B262" s="203">
        <v>4050000</v>
      </c>
      <c r="C262" s="203"/>
      <c r="D262" s="203">
        <v>4050000</v>
      </c>
      <c r="E262" s="203">
        <v>0</v>
      </c>
      <c r="F262" s="203">
        <v>4050000</v>
      </c>
      <c r="G262" s="203"/>
      <c r="H262" s="203">
        <v>4050000</v>
      </c>
      <c r="I262" s="203">
        <v>0</v>
      </c>
      <c r="J262" s="203"/>
      <c r="K262" s="207"/>
      <c r="L262" s="207"/>
    </row>
    <row r="263" spans="1:12" ht="14.25" customHeight="1" x14ac:dyDescent="0.25">
      <c r="A263" s="202" t="s">
        <v>13</v>
      </c>
      <c r="B263" s="203">
        <v>3700000</v>
      </c>
      <c r="C263" s="203">
        <v>300000</v>
      </c>
      <c r="D263" s="203">
        <v>1350000</v>
      </c>
      <c r="E263" s="203">
        <v>1350000</v>
      </c>
      <c r="F263" s="203">
        <v>3700000</v>
      </c>
      <c r="G263" s="203">
        <v>300000</v>
      </c>
      <c r="H263" s="203">
        <v>1350000</v>
      </c>
      <c r="I263" s="203">
        <v>1350000</v>
      </c>
      <c r="J263" s="203"/>
      <c r="K263" s="207"/>
      <c r="L263" s="207"/>
    </row>
    <row r="264" spans="1:12" ht="15.75" customHeight="1" x14ac:dyDescent="0.25">
      <c r="A264" s="202"/>
      <c r="B264" s="203"/>
      <c r="C264" s="203"/>
      <c r="D264" s="203"/>
      <c r="E264" s="203"/>
      <c r="F264" s="203"/>
      <c r="G264" s="203"/>
      <c r="H264" s="203"/>
      <c r="I264" s="203"/>
      <c r="J264" s="203"/>
      <c r="K264" s="207"/>
      <c r="L264" s="207"/>
    </row>
    <row r="265" spans="1:12" ht="15.75" customHeight="1" x14ac:dyDescent="0.25">
      <c r="A265" s="202"/>
      <c r="B265" s="203"/>
      <c r="C265" s="203"/>
      <c r="D265" s="203"/>
      <c r="E265" s="203"/>
      <c r="F265" s="203"/>
      <c r="G265" s="203"/>
      <c r="H265" s="203"/>
      <c r="I265" s="203"/>
      <c r="J265" s="203"/>
      <c r="K265" s="207"/>
      <c r="L265" s="207"/>
    </row>
    <row r="266" spans="1:12" ht="15.75" customHeight="1" x14ac:dyDescent="0.25">
      <c r="A266" s="202"/>
      <c r="B266" s="203"/>
      <c r="C266" s="203"/>
      <c r="D266" s="203"/>
      <c r="E266" s="203"/>
      <c r="F266" s="203"/>
      <c r="G266" s="203"/>
      <c r="H266" s="203"/>
      <c r="I266" s="203"/>
      <c r="J266" s="203"/>
      <c r="K266" s="207"/>
      <c r="L266" s="207"/>
    </row>
    <row r="267" spans="1:12" ht="15.75" customHeight="1" x14ac:dyDescent="0.25">
      <c r="A267" s="202"/>
      <c r="B267" s="203"/>
      <c r="C267" s="203"/>
      <c r="D267" s="203"/>
      <c r="E267" s="203"/>
      <c r="F267" s="203"/>
      <c r="G267" s="203"/>
      <c r="H267" s="203"/>
      <c r="I267" s="203"/>
      <c r="J267" s="203"/>
      <c r="K267" s="207"/>
      <c r="L267" s="207"/>
    </row>
    <row r="268" spans="1:12" ht="15.75" customHeight="1" x14ac:dyDescent="0.25">
      <c r="A268" s="202"/>
      <c r="B268" s="203"/>
      <c r="C268" s="203"/>
      <c r="D268" s="203"/>
      <c r="E268" s="203"/>
      <c r="F268" s="203"/>
      <c r="G268" s="203"/>
      <c r="H268" s="203"/>
      <c r="I268" s="203"/>
      <c r="J268" s="203"/>
      <c r="K268" s="207"/>
      <c r="L268" s="207"/>
    </row>
    <row r="269" spans="1:12" ht="15.75" customHeight="1" x14ac:dyDescent="0.25">
      <c r="A269" s="202"/>
      <c r="B269" s="203"/>
      <c r="C269" s="203"/>
      <c r="D269" s="203"/>
      <c r="E269" s="203"/>
      <c r="F269" s="203"/>
      <c r="G269" s="203"/>
      <c r="H269" s="203"/>
      <c r="I269" s="203"/>
      <c r="J269" s="203"/>
      <c r="K269" s="207"/>
      <c r="L269" s="207"/>
    </row>
    <row r="270" spans="1:12" ht="15.75" customHeight="1" x14ac:dyDescent="0.25">
      <c r="A270" s="202"/>
      <c r="B270" s="203"/>
      <c r="C270" s="203"/>
      <c r="D270" s="203"/>
      <c r="E270" s="203"/>
      <c r="F270" s="203"/>
      <c r="G270" s="203"/>
      <c r="H270" s="203"/>
      <c r="I270" s="203"/>
      <c r="J270" s="203"/>
      <c r="K270" s="207"/>
      <c r="L270" s="207"/>
    </row>
    <row r="271" spans="1:12" ht="15.75" customHeight="1" x14ac:dyDescent="0.25">
      <c r="A271" s="202"/>
      <c r="B271" s="203"/>
      <c r="C271" s="203"/>
      <c r="D271" s="203"/>
      <c r="E271" s="203"/>
      <c r="F271" s="203"/>
      <c r="G271" s="203"/>
      <c r="H271" s="203"/>
      <c r="I271" s="203"/>
      <c r="J271" s="203"/>
      <c r="K271" s="207"/>
      <c r="L271" s="207"/>
    </row>
    <row r="272" spans="1:12" ht="15.75" customHeight="1" x14ac:dyDescent="0.25">
      <c r="A272" s="202"/>
      <c r="B272" s="203"/>
      <c r="C272" s="203"/>
      <c r="D272" s="203"/>
      <c r="E272" s="203"/>
      <c r="F272" s="203"/>
      <c r="G272" s="203"/>
      <c r="H272" s="203"/>
      <c r="I272" s="203"/>
      <c r="J272" s="203"/>
      <c r="K272" s="207"/>
      <c r="L272" s="207"/>
    </row>
    <row r="273" spans="1:12" ht="15.75" customHeight="1" x14ac:dyDescent="0.25">
      <c r="A273" s="202"/>
      <c r="B273" s="203"/>
      <c r="C273" s="203"/>
      <c r="D273" s="203"/>
      <c r="E273" s="203"/>
      <c r="F273" s="203"/>
      <c r="G273" s="203"/>
      <c r="H273" s="203"/>
      <c r="I273" s="203"/>
      <c r="J273" s="203"/>
      <c r="K273" s="207"/>
      <c r="L273" s="207"/>
    </row>
    <row r="274" spans="1:12" ht="15.75" customHeight="1" x14ac:dyDescent="0.25">
      <c r="A274" s="202"/>
      <c r="B274" s="203"/>
      <c r="C274" s="203"/>
      <c r="D274" s="203"/>
      <c r="E274" s="203"/>
      <c r="F274" s="203"/>
      <c r="G274" s="203"/>
      <c r="H274" s="203"/>
      <c r="I274" s="203"/>
      <c r="J274" s="203"/>
      <c r="K274" s="207"/>
      <c r="L274" s="207"/>
    </row>
    <row r="275" spans="1:12" ht="15.75" customHeight="1" x14ac:dyDescent="0.25">
      <c r="A275" s="202"/>
      <c r="B275" s="203"/>
      <c r="C275" s="203"/>
      <c r="D275" s="203"/>
      <c r="E275" s="203"/>
      <c r="F275" s="203"/>
      <c r="G275" s="203"/>
      <c r="H275" s="203"/>
      <c r="I275" s="203"/>
      <c r="J275" s="203"/>
      <c r="K275" s="207"/>
      <c r="L275" s="207"/>
    </row>
    <row r="276" spans="1:12" ht="15.75" customHeight="1" x14ac:dyDescent="0.25">
      <c r="A276" s="202"/>
      <c r="B276" s="203"/>
      <c r="C276" s="203"/>
      <c r="D276" s="203"/>
      <c r="E276" s="203"/>
      <c r="F276" s="203"/>
      <c r="G276" s="203"/>
      <c r="H276" s="203"/>
      <c r="I276" s="203"/>
      <c r="J276" s="203"/>
      <c r="K276" s="207"/>
      <c r="L276" s="207"/>
    </row>
    <row r="277" spans="1:12" ht="15.75" customHeight="1" x14ac:dyDescent="0.25">
      <c r="A277" s="202"/>
      <c r="B277" s="203"/>
      <c r="C277" s="203"/>
      <c r="D277" s="203"/>
      <c r="E277" s="203"/>
      <c r="F277" s="203"/>
      <c r="G277" s="203"/>
      <c r="H277" s="203"/>
      <c r="I277" s="203"/>
      <c r="J277" s="203"/>
      <c r="K277" s="207"/>
      <c r="L277" s="207"/>
    </row>
    <row r="278" spans="1:12" ht="15.75" customHeight="1" x14ac:dyDescent="0.25">
      <c r="A278" s="202"/>
      <c r="B278" s="203"/>
      <c r="C278" s="203"/>
      <c r="D278" s="203"/>
      <c r="E278" s="203"/>
      <c r="F278" s="203"/>
      <c r="G278" s="203"/>
      <c r="H278" s="203"/>
      <c r="I278" s="203"/>
      <c r="J278" s="203"/>
      <c r="K278" s="207"/>
      <c r="L278" s="207"/>
    </row>
    <row r="279" spans="1:12" ht="15.75" customHeight="1" x14ac:dyDescent="0.25">
      <c r="A279" s="202"/>
      <c r="B279" s="203"/>
      <c r="C279" s="203"/>
      <c r="D279" s="203"/>
      <c r="E279" s="203"/>
      <c r="F279" s="203"/>
      <c r="G279" s="203"/>
      <c r="H279" s="203"/>
      <c r="I279" s="203"/>
      <c r="J279" s="203"/>
      <c r="K279" s="207"/>
      <c r="L279" s="207"/>
    </row>
    <row r="280" spans="1:12" ht="15.75" customHeight="1" x14ac:dyDescent="0.25">
      <c r="A280" s="202"/>
      <c r="B280" s="203"/>
      <c r="C280" s="203"/>
      <c r="D280" s="203"/>
      <c r="E280" s="203"/>
      <c r="F280" s="203"/>
      <c r="G280" s="203"/>
      <c r="H280" s="203"/>
      <c r="I280" s="203"/>
      <c r="J280" s="203"/>
      <c r="K280" s="207"/>
      <c r="L280" s="207"/>
    </row>
    <row r="281" spans="1:12" ht="15.75" customHeight="1" x14ac:dyDescent="0.25">
      <c r="A281" s="202"/>
      <c r="B281" s="203"/>
      <c r="C281" s="203"/>
      <c r="D281" s="203"/>
      <c r="E281" s="203"/>
      <c r="F281" s="203"/>
      <c r="G281" s="203"/>
      <c r="H281" s="203"/>
      <c r="I281" s="203"/>
      <c r="J281" s="203"/>
      <c r="K281" s="207"/>
      <c r="L281" s="207"/>
    </row>
    <row r="282" spans="1:12" ht="15.75" customHeight="1" x14ac:dyDescent="0.25">
      <c r="A282" s="202"/>
      <c r="B282" s="203"/>
      <c r="C282" s="203"/>
      <c r="D282" s="203"/>
      <c r="E282" s="203"/>
      <c r="F282" s="203"/>
      <c r="G282" s="203"/>
      <c r="H282" s="203"/>
      <c r="I282" s="203"/>
      <c r="J282" s="203"/>
      <c r="K282" s="207"/>
      <c r="L282" s="207"/>
    </row>
    <row r="283" spans="1:12" ht="15.75" customHeight="1" x14ac:dyDescent="0.25">
      <c r="A283" s="202"/>
      <c r="B283" s="203"/>
      <c r="C283" s="203"/>
      <c r="D283" s="203"/>
      <c r="E283" s="203"/>
      <c r="F283" s="203"/>
      <c r="G283" s="203"/>
      <c r="H283" s="203"/>
      <c r="I283" s="203"/>
      <c r="J283" s="203"/>
      <c r="K283" s="207"/>
      <c r="L283" s="207"/>
    </row>
    <row r="284" spans="1:12" ht="15.75" customHeight="1" x14ac:dyDescent="0.25">
      <c r="A284" s="202"/>
      <c r="B284" s="203"/>
      <c r="C284" s="203"/>
      <c r="D284" s="203"/>
      <c r="E284" s="203"/>
      <c r="F284" s="203"/>
      <c r="G284" s="203"/>
      <c r="H284" s="203"/>
      <c r="I284" s="203"/>
      <c r="J284" s="203"/>
      <c r="K284" s="207"/>
      <c r="L284" s="207"/>
    </row>
    <row r="285" spans="1:12" ht="15.75" customHeight="1" x14ac:dyDescent="0.25">
      <c r="A285" s="202"/>
      <c r="B285" s="203"/>
      <c r="C285" s="203"/>
      <c r="D285" s="203"/>
      <c r="E285" s="203"/>
      <c r="F285" s="203"/>
      <c r="G285" s="203"/>
      <c r="H285" s="203"/>
      <c r="I285" s="203"/>
      <c r="J285" s="203"/>
      <c r="K285" s="207"/>
      <c r="L285" s="207"/>
    </row>
    <row r="286" spans="1:12" ht="15.75" customHeight="1" x14ac:dyDescent="0.25">
      <c r="A286" s="202"/>
      <c r="B286" s="203"/>
      <c r="C286" s="203"/>
      <c r="D286" s="203"/>
      <c r="E286" s="203"/>
      <c r="F286" s="203"/>
      <c r="G286" s="203"/>
      <c r="H286" s="203"/>
      <c r="I286" s="203"/>
      <c r="J286" s="203"/>
      <c r="K286" s="207"/>
      <c r="L286" s="207"/>
    </row>
    <row r="287" spans="1:12" ht="15.75" customHeight="1" x14ac:dyDescent="0.25">
      <c r="A287" s="202"/>
      <c r="B287" s="203"/>
      <c r="C287" s="203"/>
      <c r="D287" s="203"/>
      <c r="E287" s="203"/>
      <c r="F287" s="203"/>
      <c r="G287" s="203"/>
      <c r="H287" s="203"/>
      <c r="I287" s="203"/>
      <c r="J287" s="203"/>
      <c r="K287" s="207"/>
      <c r="L287" s="207"/>
    </row>
    <row r="288" spans="1:12" ht="15.75" customHeight="1" x14ac:dyDescent="0.25">
      <c r="A288" s="202"/>
      <c r="B288" s="203"/>
      <c r="C288" s="203"/>
      <c r="D288" s="203"/>
      <c r="E288" s="203"/>
      <c r="F288" s="203"/>
      <c r="G288" s="203"/>
      <c r="H288" s="203"/>
      <c r="I288" s="203"/>
      <c r="J288" s="203"/>
      <c r="K288" s="207"/>
      <c r="L288" s="207"/>
    </row>
    <row r="289" spans="1:12" ht="15.75" customHeight="1" x14ac:dyDescent="0.25">
      <c r="A289" s="202"/>
      <c r="B289" s="203"/>
      <c r="C289" s="203"/>
      <c r="D289" s="203"/>
      <c r="E289" s="203"/>
      <c r="F289" s="203"/>
      <c r="G289" s="203"/>
      <c r="H289" s="203"/>
      <c r="I289" s="203"/>
      <c r="J289" s="203"/>
      <c r="K289" s="207"/>
      <c r="L289" s="207"/>
    </row>
    <row r="290" spans="1:12" ht="15.75" customHeight="1" x14ac:dyDescent="0.25">
      <c r="A290" s="202"/>
      <c r="B290" s="203"/>
      <c r="C290" s="203"/>
      <c r="D290" s="203"/>
      <c r="E290" s="203"/>
      <c r="F290" s="203"/>
      <c r="G290" s="203"/>
      <c r="H290" s="203"/>
      <c r="I290" s="203"/>
      <c r="J290" s="203"/>
      <c r="K290" s="207"/>
      <c r="L290" s="207"/>
    </row>
    <row r="291" spans="1:12" ht="15.75" customHeight="1" x14ac:dyDescent="0.25">
      <c r="A291" s="202"/>
      <c r="B291" s="203"/>
      <c r="C291" s="203"/>
      <c r="D291" s="203"/>
      <c r="E291" s="203"/>
      <c r="F291" s="203"/>
      <c r="G291" s="203"/>
      <c r="H291" s="203"/>
      <c r="I291" s="203"/>
      <c r="J291" s="203"/>
      <c r="K291" s="207"/>
      <c r="L291" s="207"/>
    </row>
    <row r="292" spans="1:12" ht="15.75" customHeight="1" x14ac:dyDescent="0.25">
      <c r="A292" s="202"/>
      <c r="B292" s="203"/>
      <c r="C292" s="203"/>
      <c r="D292" s="203"/>
      <c r="E292" s="203"/>
      <c r="F292" s="203"/>
      <c r="G292" s="203"/>
      <c r="H292" s="203"/>
      <c r="I292" s="203"/>
      <c r="J292" s="203"/>
      <c r="K292" s="207"/>
      <c r="L292" s="207"/>
    </row>
    <row r="293" spans="1:12" ht="15.75" customHeight="1" x14ac:dyDescent="0.25">
      <c r="A293" s="202"/>
      <c r="B293" s="203"/>
      <c r="C293" s="203"/>
      <c r="D293" s="203"/>
      <c r="E293" s="203"/>
      <c r="F293" s="203"/>
      <c r="G293" s="203"/>
      <c r="H293" s="203"/>
      <c r="I293" s="203"/>
      <c r="J293" s="203"/>
      <c r="K293" s="207"/>
      <c r="L293" s="207"/>
    </row>
    <row r="294" spans="1:12" ht="15.75" customHeight="1" x14ac:dyDescent="0.25">
      <c r="A294" s="202"/>
      <c r="B294" s="203"/>
      <c r="C294" s="203"/>
      <c r="D294" s="203"/>
      <c r="E294" s="203"/>
      <c r="F294" s="203"/>
      <c r="G294" s="203"/>
      <c r="H294" s="203"/>
      <c r="I294" s="203"/>
      <c r="J294" s="203"/>
      <c r="K294" s="207"/>
      <c r="L294" s="207"/>
    </row>
    <row r="295" spans="1:12" ht="15.75" customHeight="1" x14ac:dyDescent="0.25">
      <c r="A295" s="202"/>
      <c r="B295" s="203"/>
      <c r="C295" s="203"/>
      <c r="D295" s="203"/>
      <c r="E295" s="203"/>
      <c r="F295" s="203"/>
      <c r="G295" s="203"/>
      <c r="H295" s="203"/>
      <c r="I295" s="203"/>
      <c r="J295" s="203"/>
      <c r="K295" s="207"/>
      <c r="L295" s="207"/>
    </row>
    <row r="296" spans="1:12" ht="15.75" customHeight="1" x14ac:dyDescent="0.25">
      <c r="A296" s="202"/>
      <c r="B296" s="203"/>
      <c r="C296" s="203"/>
      <c r="D296" s="203"/>
      <c r="E296" s="203"/>
      <c r="F296" s="203"/>
      <c r="G296" s="203"/>
      <c r="H296" s="203"/>
      <c r="I296" s="203"/>
      <c r="J296" s="203"/>
      <c r="K296" s="207"/>
      <c r="L296" s="207"/>
    </row>
    <row r="297" spans="1:12" ht="15.75" customHeight="1" x14ac:dyDescent="0.25">
      <c r="A297" s="202"/>
      <c r="B297" s="203"/>
      <c r="C297" s="203"/>
      <c r="D297" s="203"/>
      <c r="E297" s="203"/>
      <c r="F297" s="203"/>
      <c r="G297" s="203"/>
      <c r="H297" s="203"/>
      <c r="I297" s="203"/>
      <c r="J297" s="203"/>
      <c r="K297" s="207"/>
      <c r="L297" s="207"/>
    </row>
    <row r="298" spans="1:12" ht="15.75" customHeight="1" x14ac:dyDescent="0.25">
      <c r="A298" s="202"/>
      <c r="B298" s="203"/>
      <c r="C298" s="203"/>
      <c r="D298" s="203"/>
      <c r="E298" s="203"/>
      <c r="F298" s="203"/>
      <c r="G298" s="203"/>
      <c r="H298" s="203"/>
      <c r="I298" s="203"/>
      <c r="J298" s="203"/>
      <c r="K298" s="207"/>
      <c r="L298" s="207"/>
    </row>
    <row r="299" spans="1:12" ht="15.75" customHeight="1" x14ac:dyDescent="0.25">
      <c r="A299" s="202"/>
      <c r="B299" s="203"/>
      <c r="C299" s="203"/>
      <c r="D299" s="203"/>
      <c r="E299" s="203"/>
      <c r="F299" s="203"/>
      <c r="G299" s="203"/>
      <c r="H299" s="203"/>
      <c r="I299" s="203"/>
      <c r="J299" s="203"/>
      <c r="K299" s="207"/>
      <c r="L299" s="207"/>
    </row>
    <row r="300" spans="1:12" ht="15.75" customHeight="1" x14ac:dyDescent="0.25">
      <c r="A300" s="202"/>
      <c r="B300" s="203"/>
      <c r="C300" s="203"/>
      <c r="D300" s="203"/>
      <c r="E300" s="203"/>
      <c r="F300" s="203"/>
      <c r="G300" s="203"/>
      <c r="H300" s="203"/>
      <c r="I300" s="203"/>
      <c r="J300" s="203"/>
      <c r="K300" s="207"/>
      <c r="L300" s="207"/>
    </row>
    <row r="301" spans="1:12" ht="15.75" customHeight="1" x14ac:dyDescent="0.25">
      <c r="A301" s="202"/>
      <c r="B301" s="203"/>
      <c r="C301" s="203"/>
      <c r="D301" s="203"/>
      <c r="E301" s="203"/>
      <c r="F301" s="203"/>
      <c r="G301" s="203"/>
      <c r="H301" s="203"/>
      <c r="I301" s="203"/>
      <c r="J301" s="203"/>
      <c r="K301" s="207"/>
      <c r="L301" s="207"/>
    </row>
    <row r="302" spans="1:12" ht="15.75" customHeight="1" x14ac:dyDescent="0.25">
      <c r="A302" s="202"/>
      <c r="B302" s="203"/>
      <c r="C302" s="203"/>
      <c r="D302" s="203"/>
      <c r="E302" s="203"/>
      <c r="F302" s="203"/>
      <c r="G302" s="203"/>
      <c r="H302" s="203"/>
      <c r="I302" s="203"/>
      <c r="J302" s="203"/>
      <c r="K302" s="207"/>
      <c r="L302" s="207"/>
    </row>
    <row r="303" spans="1:12" ht="15.75" customHeight="1" x14ac:dyDescent="0.25">
      <c r="A303" s="202"/>
      <c r="B303" s="203"/>
      <c r="C303" s="203"/>
      <c r="D303" s="203"/>
      <c r="E303" s="203"/>
      <c r="F303" s="203"/>
      <c r="G303" s="203"/>
      <c r="H303" s="203"/>
      <c r="I303" s="203"/>
      <c r="J303" s="203"/>
      <c r="K303" s="207"/>
      <c r="L303" s="207"/>
    </row>
    <row r="304" spans="1:12" ht="15.75" customHeight="1" x14ac:dyDescent="0.25">
      <c r="A304" s="202"/>
      <c r="B304" s="203"/>
      <c r="C304" s="203"/>
      <c r="D304" s="203"/>
      <c r="E304" s="203"/>
      <c r="F304" s="203"/>
      <c r="G304" s="203"/>
      <c r="H304" s="203"/>
      <c r="I304" s="203"/>
      <c r="J304" s="203"/>
      <c r="K304" s="207"/>
      <c r="L304" s="207"/>
    </row>
    <row r="305" spans="1:12" ht="15.75" customHeight="1" x14ac:dyDescent="0.25">
      <c r="A305" s="202"/>
      <c r="B305" s="203"/>
      <c r="C305" s="203"/>
      <c r="D305" s="203"/>
      <c r="E305" s="203"/>
      <c r="F305" s="203"/>
      <c r="G305" s="203"/>
      <c r="H305" s="203"/>
      <c r="I305" s="203"/>
      <c r="J305" s="203"/>
      <c r="K305" s="207"/>
      <c r="L305" s="207"/>
    </row>
    <row r="306" spans="1:12" ht="15.75" customHeight="1" x14ac:dyDescent="0.25">
      <c r="A306" s="202"/>
      <c r="B306" s="203"/>
      <c r="C306" s="203"/>
      <c r="D306" s="203"/>
      <c r="E306" s="203"/>
      <c r="F306" s="203"/>
      <c r="G306" s="203"/>
      <c r="H306" s="203"/>
      <c r="I306" s="203"/>
      <c r="J306" s="203"/>
      <c r="K306" s="207"/>
      <c r="L306" s="207"/>
    </row>
    <row r="307" spans="1:12" ht="15.75" customHeight="1" x14ac:dyDescent="0.25">
      <c r="A307" s="202"/>
      <c r="B307" s="203"/>
      <c r="C307" s="203"/>
      <c r="D307" s="203"/>
      <c r="E307" s="203"/>
      <c r="F307" s="203"/>
      <c r="G307" s="203"/>
      <c r="H307" s="203"/>
      <c r="I307" s="203"/>
      <c r="J307" s="203"/>
      <c r="K307" s="207"/>
      <c r="L307" s="207"/>
    </row>
    <row r="308" spans="1:12" ht="15.75" customHeight="1" x14ac:dyDescent="0.25">
      <c r="A308" s="202"/>
      <c r="B308" s="203"/>
      <c r="C308" s="203"/>
      <c r="D308" s="203"/>
      <c r="E308" s="203"/>
      <c r="F308" s="203"/>
      <c r="G308" s="203"/>
      <c r="H308" s="203"/>
      <c r="I308" s="203"/>
      <c r="J308" s="203"/>
      <c r="K308" s="207"/>
      <c r="L308" s="207"/>
    </row>
    <row r="309" spans="1:12" ht="15.75" customHeight="1" x14ac:dyDescent="0.25">
      <c r="A309" s="202"/>
      <c r="B309" s="203"/>
      <c r="C309" s="203"/>
      <c r="D309" s="203"/>
      <c r="E309" s="203"/>
      <c r="F309" s="203"/>
      <c r="G309" s="203"/>
      <c r="H309" s="203"/>
      <c r="I309" s="203"/>
      <c r="J309" s="203"/>
      <c r="K309" s="207"/>
      <c r="L309" s="207"/>
    </row>
    <row r="310" spans="1:12" ht="15.75" customHeight="1" x14ac:dyDescent="0.25">
      <c r="A310" s="202"/>
      <c r="B310" s="203"/>
      <c r="C310" s="203"/>
      <c r="D310" s="203"/>
      <c r="E310" s="203"/>
      <c r="F310" s="203"/>
      <c r="G310" s="203"/>
      <c r="H310" s="203"/>
      <c r="I310" s="203"/>
      <c r="J310" s="203"/>
      <c r="K310" s="207"/>
      <c r="L310" s="207"/>
    </row>
    <row r="311" spans="1:12" ht="15.75" customHeight="1" x14ac:dyDescent="0.25">
      <c r="A311" s="202"/>
      <c r="B311" s="203"/>
      <c r="C311" s="203"/>
      <c r="D311" s="203"/>
      <c r="E311" s="203"/>
      <c r="F311" s="203"/>
      <c r="G311" s="203"/>
      <c r="H311" s="203"/>
      <c r="I311" s="203"/>
      <c r="J311" s="203"/>
      <c r="K311" s="207"/>
      <c r="L311" s="207"/>
    </row>
    <row r="312" spans="1:12" ht="15.75" customHeight="1" x14ac:dyDescent="0.25">
      <c r="A312" s="202"/>
      <c r="B312" s="203"/>
      <c r="C312" s="203"/>
      <c r="D312" s="203"/>
      <c r="E312" s="203"/>
      <c r="F312" s="203"/>
      <c r="G312" s="203"/>
      <c r="H312" s="203"/>
      <c r="I312" s="203"/>
      <c r="J312" s="203"/>
      <c r="K312" s="207"/>
      <c r="L312" s="207"/>
    </row>
    <row r="313" spans="1:12" ht="15.75" customHeight="1" x14ac:dyDescent="0.25">
      <c r="A313" s="202"/>
      <c r="B313" s="203"/>
      <c r="C313" s="203"/>
      <c r="D313" s="203"/>
      <c r="E313" s="203"/>
      <c r="F313" s="203"/>
      <c r="G313" s="203"/>
      <c r="H313" s="203"/>
      <c r="I313" s="203"/>
      <c r="J313" s="203"/>
      <c r="K313" s="207"/>
      <c r="L313" s="207"/>
    </row>
    <row r="314" spans="1:12" ht="15.75" customHeight="1" x14ac:dyDescent="0.25">
      <c r="A314" s="202"/>
      <c r="B314" s="203"/>
      <c r="C314" s="203"/>
      <c r="D314" s="203"/>
      <c r="E314" s="203"/>
      <c r="F314" s="203"/>
      <c r="G314" s="203"/>
      <c r="H314" s="203"/>
      <c r="I314" s="203"/>
      <c r="J314" s="203"/>
      <c r="K314" s="207"/>
      <c r="L314" s="207"/>
    </row>
    <row r="315" spans="1:12" ht="15.75" customHeight="1" x14ac:dyDescent="0.25">
      <c r="A315" s="202"/>
      <c r="B315" s="203"/>
      <c r="C315" s="203"/>
      <c r="D315" s="203"/>
      <c r="E315" s="203"/>
      <c r="F315" s="203"/>
      <c r="G315" s="203"/>
      <c r="H315" s="203"/>
      <c r="I315" s="203"/>
      <c r="J315" s="203"/>
      <c r="K315" s="207"/>
      <c r="L315" s="207"/>
    </row>
    <row r="316" spans="1:12" ht="15.75" customHeight="1" x14ac:dyDescent="0.25">
      <c r="A316" s="202"/>
      <c r="B316" s="203"/>
      <c r="C316" s="203"/>
      <c r="D316" s="203"/>
      <c r="E316" s="203"/>
      <c r="F316" s="203"/>
      <c r="G316" s="203"/>
      <c r="H316" s="203"/>
      <c r="I316" s="203"/>
      <c r="J316" s="203"/>
      <c r="K316" s="207"/>
      <c r="L316" s="207"/>
    </row>
    <row r="317" spans="1:12" ht="15.75" customHeight="1" x14ac:dyDescent="0.25">
      <c r="A317" s="202"/>
      <c r="B317" s="203"/>
      <c r="C317" s="203"/>
      <c r="D317" s="203"/>
      <c r="E317" s="203"/>
      <c r="F317" s="203"/>
      <c r="G317" s="203"/>
      <c r="H317" s="203"/>
      <c r="I317" s="203"/>
      <c r="J317" s="203"/>
      <c r="K317" s="207"/>
      <c r="L317" s="207"/>
    </row>
    <row r="318" spans="1:12" ht="15.75" customHeight="1" x14ac:dyDescent="0.25">
      <c r="A318" s="202"/>
      <c r="B318" s="203"/>
      <c r="C318" s="203"/>
      <c r="D318" s="203"/>
      <c r="E318" s="203"/>
      <c r="F318" s="203"/>
      <c r="G318" s="203"/>
      <c r="H318" s="203"/>
      <c r="I318" s="203"/>
      <c r="J318" s="203"/>
      <c r="K318" s="207"/>
      <c r="L318" s="207"/>
    </row>
    <row r="319" spans="1:12" ht="15.75" customHeight="1" x14ac:dyDescent="0.25">
      <c r="A319" s="202"/>
      <c r="B319" s="203"/>
      <c r="C319" s="203"/>
      <c r="D319" s="203"/>
      <c r="E319" s="203"/>
      <c r="F319" s="203"/>
      <c r="G319" s="203"/>
      <c r="H319" s="203"/>
      <c r="I319" s="203"/>
      <c r="J319" s="203"/>
      <c r="K319" s="207"/>
      <c r="L319" s="207"/>
    </row>
    <row r="320" spans="1:12" ht="15.75" customHeight="1" x14ac:dyDescent="0.25">
      <c r="A320" s="202"/>
      <c r="B320" s="203"/>
      <c r="C320" s="203"/>
      <c r="D320" s="203"/>
      <c r="E320" s="203"/>
      <c r="F320" s="203"/>
      <c r="G320" s="203"/>
      <c r="H320" s="203"/>
      <c r="I320" s="203"/>
      <c r="J320" s="203"/>
      <c r="K320" s="207"/>
      <c r="L320" s="207"/>
    </row>
    <row r="321" spans="1:12" ht="15.75" customHeight="1" x14ac:dyDescent="0.25">
      <c r="A321" s="202"/>
      <c r="B321" s="203"/>
      <c r="C321" s="203"/>
      <c r="D321" s="203"/>
      <c r="E321" s="203"/>
      <c r="F321" s="203"/>
      <c r="G321" s="203"/>
      <c r="H321" s="203"/>
      <c r="I321" s="203"/>
      <c r="J321" s="203"/>
      <c r="K321" s="207"/>
      <c r="L321" s="207"/>
    </row>
    <row r="322" spans="1:12" ht="15.75" customHeight="1" x14ac:dyDescent="0.25">
      <c r="A322" s="202"/>
      <c r="B322" s="203"/>
      <c r="C322" s="203"/>
      <c r="D322" s="203"/>
      <c r="E322" s="203"/>
      <c r="F322" s="203"/>
      <c r="G322" s="203"/>
      <c r="H322" s="203"/>
      <c r="I322" s="203"/>
      <c r="J322" s="203"/>
      <c r="K322" s="207"/>
      <c r="L322" s="207"/>
    </row>
    <row r="323" spans="1:12" ht="15.75" customHeight="1" x14ac:dyDescent="0.25">
      <c r="A323" s="202"/>
      <c r="B323" s="203"/>
      <c r="C323" s="203"/>
      <c r="D323" s="203"/>
      <c r="E323" s="203"/>
      <c r="F323" s="203"/>
      <c r="G323" s="203"/>
      <c r="H323" s="203"/>
      <c r="I323" s="203"/>
      <c r="J323" s="203"/>
      <c r="K323" s="207"/>
      <c r="L323" s="207"/>
    </row>
    <row r="324" spans="1:12" ht="15.75" customHeight="1" x14ac:dyDescent="0.25">
      <c r="A324" s="202"/>
      <c r="B324" s="203"/>
      <c r="C324" s="203"/>
      <c r="D324" s="203"/>
      <c r="E324" s="203"/>
      <c r="F324" s="203"/>
      <c r="G324" s="203"/>
      <c r="H324" s="203"/>
      <c r="I324" s="203"/>
      <c r="J324" s="203"/>
      <c r="K324" s="207"/>
      <c r="L324" s="207"/>
    </row>
    <row r="325" spans="1:12" ht="15.75" customHeight="1" x14ac:dyDescent="0.25">
      <c r="A325" s="202"/>
      <c r="B325" s="203"/>
      <c r="C325" s="203"/>
      <c r="D325" s="203"/>
      <c r="E325" s="203"/>
      <c r="F325" s="203"/>
      <c r="G325" s="203"/>
      <c r="H325" s="203"/>
      <c r="I325" s="203"/>
      <c r="J325" s="203"/>
      <c r="K325" s="207"/>
      <c r="L325" s="207"/>
    </row>
    <row r="326" spans="1:12" ht="15.75" customHeight="1" x14ac:dyDescent="0.25">
      <c r="A326" s="202"/>
      <c r="B326" s="203"/>
      <c r="C326" s="203"/>
      <c r="D326" s="203"/>
      <c r="E326" s="203"/>
      <c r="F326" s="203"/>
      <c r="G326" s="203"/>
      <c r="H326" s="203"/>
      <c r="I326" s="203"/>
      <c r="J326" s="203"/>
      <c r="K326" s="207"/>
      <c r="L326" s="207"/>
    </row>
    <row r="327" spans="1:12" ht="15.75" customHeight="1" x14ac:dyDescent="0.25">
      <c r="A327" s="202"/>
      <c r="B327" s="203"/>
      <c r="C327" s="203"/>
      <c r="D327" s="203"/>
      <c r="E327" s="203"/>
      <c r="F327" s="203"/>
      <c r="G327" s="203"/>
      <c r="H327" s="203"/>
      <c r="I327" s="203"/>
      <c r="J327" s="203"/>
      <c r="K327" s="207"/>
      <c r="L327" s="207"/>
    </row>
    <row r="328" spans="1:12" ht="15.75" customHeight="1" x14ac:dyDescent="0.25">
      <c r="A328" s="202"/>
      <c r="B328" s="203"/>
      <c r="C328" s="203"/>
      <c r="D328" s="203"/>
      <c r="E328" s="203"/>
      <c r="F328" s="203"/>
      <c r="G328" s="203"/>
      <c r="H328" s="203"/>
      <c r="I328" s="203"/>
      <c r="J328" s="203"/>
      <c r="K328" s="207"/>
      <c r="L328" s="207"/>
    </row>
    <row r="329" spans="1:12" ht="15.75" customHeight="1" x14ac:dyDescent="0.25">
      <c r="A329" s="202"/>
      <c r="B329" s="203"/>
      <c r="C329" s="203"/>
      <c r="D329" s="203"/>
      <c r="E329" s="203"/>
      <c r="F329" s="203"/>
      <c r="G329" s="203"/>
      <c r="H329" s="203"/>
      <c r="I329" s="203"/>
      <c r="J329" s="203"/>
      <c r="K329" s="207"/>
      <c r="L329" s="207"/>
    </row>
    <row r="330" spans="1:12" ht="15.75" customHeight="1" x14ac:dyDescent="0.25">
      <c r="A330" s="202"/>
      <c r="B330" s="203"/>
      <c r="C330" s="203"/>
      <c r="D330" s="203"/>
      <c r="E330" s="203"/>
      <c r="F330" s="203"/>
      <c r="G330" s="203"/>
      <c r="H330" s="203"/>
      <c r="I330" s="203"/>
      <c r="J330" s="203"/>
      <c r="K330" s="207"/>
      <c r="L330" s="207"/>
    </row>
    <row r="331" spans="1:12" ht="15.75" customHeight="1" x14ac:dyDescent="0.25">
      <c r="A331" s="202"/>
      <c r="B331" s="203"/>
      <c r="C331" s="203"/>
      <c r="D331" s="203"/>
      <c r="E331" s="203"/>
      <c r="F331" s="203"/>
      <c r="G331" s="203"/>
      <c r="H331" s="203"/>
      <c r="I331" s="203"/>
      <c r="J331" s="203"/>
      <c r="K331" s="207"/>
      <c r="L331" s="207"/>
    </row>
    <row r="332" spans="1:12" ht="15.75" customHeight="1" x14ac:dyDescent="0.25">
      <c r="A332" s="202"/>
      <c r="B332" s="203"/>
      <c r="C332" s="203"/>
      <c r="D332" s="203"/>
      <c r="E332" s="203"/>
      <c r="F332" s="203"/>
      <c r="G332" s="203"/>
      <c r="H332" s="203"/>
      <c r="I332" s="203"/>
      <c r="J332" s="203"/>
      <c r="K332" s="207"/>
      <c r="L332" s="207"/>
    </row>
    <row r="333" spans="1:12" ht="15.75" customHeight="1" x14ac:dyDescent="0.25">
      <c r="A333" s="202"/>
      <c r="B333" s="203"/>
      <c r="C333" s="203"/>
      <c r="D333" s="203"/>
      <c r="E333" s="203"/>
      <c r="F333" s="203"/>
      <c r="G333" s="203"/>
      <c r="H333" s="203"/>
      <c r="I333" s="203"/>
      <c r="J333" s="203"/>
      <c r="K333" s="207"/>
      <c r="L333" s="207"/>
    </row>
    <row r="334" spans="1:12" ht="15.75" customHeight="1" x14ac:dyDescent="0.25">
      <c r="A334" s="202"/>
      <c r="B334" s="203"/>
      <c r="C334" s="203"/>
      <c r="D334" s="203"/>
      <c r="E334" s="203"/>
      <c r="F334" s="203"/>
      <c r="G334" s="203"/>
      <c r="H334" s="203"/>
      <c r="I334" s="203"/>
      <c r="J334" s="203"/>
      <c r="K334" s="207"/>
      <c r="L334" s="207"/>
    </row>
    <row r="335" spans="1:12" ht="15.75" customHeight="1" x14ac:dyDescent="0.25">
      <c r="A335" s="202"/>
      <c r="B335" s="203"/>
      <c r="C335" s="203"/>
      <c r="D335" s="203"/>
      <c r="E335" s="203"/>
      <c r="F335" s="203"/>
      <c r="G335" s="203"/>
      <c r="H335" s="203"/>
      <c r="I335" s="203"/>
      <c r="J335" s="203"/>
      <c r="K335" s="207"/>
      <c r="L335" s="207"/>
    </row>
    <row r="336" spans="1:12" ht="15.75" customHeight="1" x14ac:dyDescent="0.25">
      <c r="A336" s="202"/>
      <c r="B336" s="203"/>
      <c r="C336" s="203"/>
      <c r="D336" s="203"/>
      <c r="E336" s="203"/>
      <c r="F336" s="203"/>
      <c r="G336" s="203"/>
      <c r="H336" s="203"/>
      <c r="I336" s="203"/>
      <c r="J336" s="203"/>
      <c r="K336" s="207"/>
      <c r="L336" s="207"/>
    </row>
    <row r="337" spans="1:12" ht="15.75" customHeight="1" x14ac:dyDescent="0.25">
      <c r="A337" s="202"/>
      <c r="B337" s="203"/>
      <c r="C337" s="203"/>
      <c r="D337" s="203"/>
      <c r="E337" s="203"/>
      <c r="F337" s="203"/>
      <c r="G337" s="203"/>
      <c r="H337" s="203"/>
      <c r="I337" s="203"/>
      <c r="J337" s="203"/>
      <c r="K337" s="207"/>
      <c r="L337" s="207"/>
    </row>
    <row r="338" spans="1:12" ht="15.75" customHeight="1" x14ac:dyDescent="0.25">
      <c r="A338" s="202"/>
      <c r="B338" s="203"/>
      <c r="C338" s="203"/>
      <c r="D338" s="203"/>
      <c r="E338" s="203"/>
      <c r="F338" s="203"/>
      <c r="G338" s="203"/>
      <c r="H338" s="203"/>
      <c r="I338" s="203"/>
      <c r="J338" s="203"/>
      <c r="K338" s="207"/>
      <c r="L338" s="207"/>
    </row>
    <row r="339" spans="1:12" ht="15.75" customHeight="1" x14ac:dyDescent="0.25">
      <c r="A339" s="202"/>
      <c r="B339" s="203"/>
      <c r="C339" s="203"/>
      <c r="D339" s="203"/>
      <c r="E339" s="203"/>
      <c r="F339" s="203"/>
      <c r="G339" s="203"/>
      <c r="H339" s="203"/>
      <c r="I339" s="203"/>
      <c r="J339" s="203"/>
      <c r="K339" s="207"/>
      <c r="L339" s="207"/>
    </row>
    <row r="340" spans="1:12" ht="15.75" customHeight="1" x14ac:dyDescent="0.25">
      <c r="A340" s="202"/>
      <c r="B340" s="203"/>
      <c r="C340" s="203"/>
      <c r="D340" s="203"/>
      <c r="E340" s="203"/>
      <c r="F340" s="203"/>
      <c r="G340" s="203"/>
      <c r="H340" s="203"/>
      <c r="I340" s="203"/>
      <c r="J340" s="203"/>
      <c r="K340" s="207"/>
      <c r="L340" s="207"/>
    </row>
    <row r="341" spans="1:12" ht="15.75" customHeight="1" x14ac:dyDescent="0.25">
      <c r="A341" s="202"/>
      <c r="B341" s="203"/>
      <c r="C341" s="203"/>
      <c r="D341" s="203"/>
      <c r="E341" s="203"/>
      <c r="F341" s="203"/>
      <c r="G341" s="203"/>
      <c r="H341" s="203"/>
      <c r="I341" s="203"/>
      <c r="J341" s="203"/>
      <c r="K341" s="207"/>
      <c r="L341" s="207"/>
    </row>
    <row r="342" spans="1:12" ht="15.75" customHeight="1" x14ac:dyDescent="0.25">
      <c r="A342" s="202"/>
      <c r="B342" s="203"/>
      <c r="C342" s="203"/>
      <c r="D342" s="203"/>
      <c r="E342" s="203"/>
      <c r="F342" s="203"/>
      <c r="G342" s="203"/>
      <c r="H342" s="203"/>
      <c r="I342" s="203"/>
      <c r="J342" s="203"/>
      <c r="K342" s="207"/>
      <c r="L342" s="207"/>
    </row>
    <row r="343" spans="1:12" ht="15.75" customHeight="1" x14ac:dyDescent="0.25">
      <c r="A343" s="202"/>
      <c r="B343" s="203"/>
      <c r="C343" s="203"/>
      <c r="D343" s="203"/>
      <c r="E343" s="203"/>
      <c r="F343" s="203"/>
      <c r="G343" s="203"/>
      <c r="H343" s="203"/>
      <c r="I343" s="203"/>
      <c r="J343" s="203"/>
      <c r="K343" s="207"/>
      <c r="L343" s="207"/>
    </row>
    <row r="344" spans="1:12" ht="15.75" customHeight="1" x14ac:dyDescent="0.25">
      <c r="A344" s="202"/>
      <c r="B344" s="203"/>
      <c r="C344" s="203"/>
      <c r="D344" s="203"/>
      <c r="E344" s="203"/>
      <c r="F344" s="203"/>
      <c r="G344" s="203"/>
      <c r="H344" s="203"/>
      <c r="I344" s="203"/>
      <c r="J344" s="203"/>
      <c r="K344" s="207"/>
      <c r="L344" s="207"/>
    </row>
    <row r="345" spans="1:12" ht="15.75" customHeight="1" x14ac:dyDescent="0.25">
      <c r="A345" s="202"/>
      <c r="B345" s="203"/>
      <c r="C345" s="203"/>
      <c r="D345" s="203"/>
      <c r="E345" s="203"/>
      <c r="F345" s="203"/>
      <c r="G345" s="203"/>
      <c r="H345" s="203"/>
      <c r="I345" s="203"/>
      <c r="J345" s="203"/>
      <c r="K345" s="207"/>
      <c r="L345" s="207"/>
    </row>
    <row r="346" spans="1:12" ht="15.75" customHeight="1" x14ac:dyDescent="0.25">
      <c r="A346" s="202"/>
      <c r="B346" s="203"/>
      <c r="C346" s="203"/>
      <c r="D346" s="203"/>
      <c r="E346" s="203"/>
      <c r="F346" s="203"/>
      <c r="G346" s="203"/>
      <c r="H346" s="203"/>
      <c r="I346" s="203"/>
      <c r="J346" s="203"/>
      <c r="K346" s="207"/>
      <c r="L346" s="207"/>
    </row>
    <row r="347" spans="1:12" ht="15.75" customHeight="1" x14ac:dyDescent="0.25">
      <c r="A347" s="202"/>
      <c r="B347" s="203"/>
      <c r="C347" s="203"/>
      <c r="D347" s="203"/>
      <c r="E347" s="203"/>
      <c r="F347" s="203"/>
      <c r="G347" s="203"/>
      <c r="H347" s="203"/>
      <c r="I347" s="203"/>
      <c r="J347" s="203"/>
      <c r="K347" s="207"/>
      <c r="L347" s="207"/>
    </row>
    <row r="348" spans="1:12" ht="15.75" customHeight="1" x14ac:dyDescent="0.25">
      <c r="A348" s="202"/>
      <c r="B348" s="203"/>
      <c r="C348" s="203"/>
      <c r="D348" s="203"/>
      <c r="E348" s="203"/>
      <c r="F348" s="203"/>
      <c r="G348" s="203"/>
      <c r="H348" s="203"/>
      <c r="I348" s="203"/>
      <c r="J348" s="203"/>
      <c r="K348" s="207"/>
      <c r="L348" s="207"/>
    </row>
    <row r="349" spans="1:12" ht="15.75" customHeight="1" x14ac:dyDescent="0.25">
      <c r="A349" s="202"/>
      <c r="B349" s="203"/>
      <c r="C349" s="203"/>
      <c r="D349" s="203"/>
      <c r="E349" s="203"/>
      <c r="F349" s="203"/>
      <c r="G349" s="203"/>
      <c r="H349" s="203"/>
      <c r="I349" s="203"/>
      <c r="J349" s="203"/>
      <c r="K349" s="207"/>
      <c r="L349" s="207"/>
    </row>
    <row r="350" spans="1:12" ht="15.75" customHeight="1" x14ac:dyDescent="0.25">
      <c r="A350" s="202"/>
      <c r="B350" s="203"/>
      <c r="C350" s="203"/>
      <c r="D350" s="203"/>
      <c r="E350" s="203"/>
      <c r="F350" s="203"/>
      <c r="G350" s="203"/>
      <c r="H350" s="203"/>
      <c r="I350" s="203"/>
      <c r="J350" s="203"/>
      <c r="K350" s="207"/>
      <c r="L350" s="207"/>
    </row>
    <row r="351" spans="1:12" ht="15.75" customHeight="1" x14ac:dyDescent="0.25">
      <c r="A351" s="202"/>
      <c r="B351" s="203"/>
      <c r="C351" s="203"/>
      <c r="D351" s="203"/>
      <c r="E351" s="203"/>
      <c r="F351" s="203"/>
      <c r="G351" s="203"/>
      <c r="H351" s="203"/>
      <c r="I351" s="203"/>
      <c r="J351" s="203"/>
      <c r="K351" s="207"/>
      <c r="L351" s="207"/>
    </row>
    <row r="352" spans="1:12" ht="15.75" customHeight="1" x14ac:dyDescent="0.25">
      <c r="A352" s="202"/>
      <c r="B352" s="203"/>
      <c r="C352" s="203"/>
      <c r="D352" s="203"/>
      <c r="E352" s="203"/>
      <c r="F352" s="203"/>
      <c r="G352" s="203"/>
      <c r="H352" s="203"/>
      <c r="I352" s="203"/>
      <c r="J352" s="203"/>
      <c r="K352" s="207"/>
      <c r="L352" s="207"/>
    </row>
    <row r="353" spans="1:12" ht="15.75" customHeight="1" x14ac:dyDescent="0.25">
      <c r="A353" s="202"/>
      <c r="B353" s="203"/>
      <c r="C353" s="203"/>
      <c r="D353" s="203"/>
      <c r="E353" s="203"/>
      <c r="F353" s="203"/>
      <c r="G353" s="203"/>
      <c r="H353" s="203"/>
      <c r="I353" s="203"/>
      <c r="J353" s="203"/>
      <c r="K353" s="207"/>
      <c r="L353" s="207"/>
    </row>
    <row r="354" spans="1:12" ht="15.75" customHeight="1" x14ac:dyDescent="0.25">
      <c r="A354" s="202"/>
      <c r="B354" s="203"/>
      <c r="C354" s="203"/>
      <c r="D354" s="203"/>
      <c r="E354" s="203"/>
      <c r="F354" s="203"/>
      <c r="G354" s="203"/>
      <c r="H354" s="203"/>
      <c r="I354" s="203"/>
      <c r="J354" s="203"/>
      <c r="K354" s="207"/>
      <c r="L354" s="207"/>
    </row>
    <row r="355" spans="1:12" ht="15.75" customHeight="1" x14ac:dyDescent="0.25">
      <c r="A355" s="202"/>
      <c r="B355" s="203"/>
      <c r="C355" s="203"/>
      <c r="D355" s="203"/>
      <c r="E355" s="203"/>
      <c r="F355" s="203"/>
      <c r="G355" s="203"/>
      <c r="H355" s="203"/>
      <c r="I355" s="203"/>
      <c r="J355" s="203"/>
      <c r="K355" s="207"/>
      <c r="L355" s="207"/>
    </row>
    <row r="356" spans="1:12" ht="15.75" customHeight="1" x14ac:dyDescent="0.25">
      <c r="A356" s="202"/>
      <c r="B356" s="203"/>
      <c r="C356" s="203"/>
      <c r="D356" s="203"/>
      <c r="E356" s="203"/>
      <c r="F356" s="203"/>
      <c r="G356" s="203"/>
      <c r="H356" s="203"/>
      <c r="I356" s="203"/>
      <c r="J356" s="203"/>
      <c r="K356" s="207"/>
      <c r="L356" s="207"/>
    </row>
    <row r="357" spans="1:12" ht="15.75" customHeight="1" x14ac:dyDescent="0.25">
      <c r="A357" s="202"/>
      <c r="B357" s="203"/>
      <c r="C357" s="203"/>
      <c r="D357" s="203"/>
      <c r="E357" s="203"/>
      <c r="F357" s="203"/>
      <c r="G357" s="203"/>
      <c r="H357" s="203"/>
      <c r="I357" s="203"/>
      <c r="J357" s="203"/>
      <c r="K357" s="207"/>
      <c r="L357" s="207"/>
    </row>
    <row r="358" spans="1:12" ht="15.75" customHeight="1" x14ac:dyDescent="0.25">
      <c r="A358" s="202"/>
      <c r="B358" s="203"/>
      <c r="C358" s="203"/>
      <c r="D358" s="203"/>
      <c r="E358" s="203"/>
      <c r="F358" s="203"/>
      <c r="G358" s="203"/>
      <c r="H358" s="203"/>
      <c r="I358" s="203"/>
      <c r="J358" s="203"/>
      <c r="K358" s="207"/>
      <c r="L358" s="207"/>
    </row>
    <row r="359" spans="1:12" ht="15.75" customHeight="1" x14ac:dyDescent="0.25">
      <c r="A359" s="202"/>
      <c r="B359" s="203"/>
      <c r="C359" s="203"/>
      <c r="D359" s="203"/>
      <c r="E359" s="203"/>
      <c r="F359" s="203"/>
      <c r="G359" s="203"/>
      <c r="H359" s="203"/>
      <c r="I359" s="203"/>
      <c r="J359" s="203"/>
      <c r="K359" s="207"/>
      <c r="L359" s="207"/>
    </row>
    <row r="360" spans="1:12" ht="15.75" customHeight="1" x14ac:dyDescent="0.25">
      <c r="A360" s="202"/>
      <c r="B360" s="203"/>
      <c r="C360" s="203"/>
      <c r="D360" s="203"/>
      <c r="E360" s="203"/>
      <c r="F360" s="203"/>
      <c r="G360" s="203"/>
      <c r="H360" s="203"/>
      <c r="I360" s="203"/>
      <c r="J360" s="203"/>
      <c r="K360" s="207"/>
      <c r="L360" s="207"/>
    </row>
    <row r="361" spans="1:12" ht="15.75" customHeight="1" x14ac:dyDescent="0.25">
      <c r="A361" s="202"/>
      <c r="B361" s="203"/>
      <c r="C361" s="203"/>
      <c r="D361" s="203"/>
      <c r="E361" s="203"/>
      <c r="F361" s="203"/>
      <c r="G361" s="203"/>
      <c r="H361" s="203"/>
      <c r="I361" s="203"/>
      <c r="J361" s="203"/>
      <c r="K361" s="207"/>
      <c r="L361" s="207"/>
    </row>
    <row r="362" spans="1:12" ht="15.75" customHeight="1" x14ac:dyDescent="0.25">
      <c r="A362" s="202"/>
      <c r="B362" s="203"/>
      <c r="C362" s="203"/>
      <c r="D362" s="203"/>
      <c r="E362" s="203"/>
      <c r="F362" s="203"/>
      <c r="G362" s="203"/>
      <c r="H362" s="203"/>
      <c r="I362" s="203"/>
      <c r="J362" s="203"/>
      <c r="K362" s="207"/>
      <c r="L362" s="207"/>
    </row>
    <row r="363" spans="1:12" ht="15.75" customHeight="1" x14ac:dyDescent="0.25">
      <c r="A363" s="202"/>
      <c r="B363" s="203"/>
      <c r="C363" s="203"/>
      <c r="D363" s="203"/>
      <c r="E363" s="203"/>
      <c r="F363" s="203"/>
      <c r="G363" s="203"/>
      <c r="H363" s="203"/>
      <c r="I363" s="203"/>
      <c r="J363" s="203"/>
      <c r="K363" s="207"/>
      <c r="L363" s="207"/>
    </row>
    <row r="364" spans="1:12" ht="15.75" customHeight="1" x14ac:dyDescent="0.25">
      <c r="A364" s="202"/>
      <c r="B364" s="203"/>
      <c r="C364" s="203"/>
      <c r="D364" s="203"/>
      <c r="E364" s="203"/>
      <c r="F364" s="203"/>
      <c r="G364" s="203"/>
      <c r="H364" s="203"/>
      <c r="I364" s="203"/>
      <c r="J364" s="203"/>
      <c r="K364" s="207"/>
      <c r="L364" s="207"/>
    </row>
    <row r="365" spans="1:12" ht="15.75" customHeight="1" x14ac:dyDescent="0.25">
      <c r="A365" s="202"/>
      <c r="B365" s="203"/>
      <c r="C365" s="203"/>
      <c r="D365" s="203"/>
      <c r="E365" s="203"/>
      <c r="F365" s="203"/>
      <c r="G365" s="203"/>
      <c r="H365" s="203"/>
      <c r="I365" s="203"/>
      <c r="J365" s="203"/>
      <c r="K365" s="207"/>
      <c r="L365" s="207"/>
    </row>
    <row r="366" spans="1:12" ht="15.75" customHeight="1" x14ac:dyDescent="0.25">
      <c r="A366" s="202"/>
      <c r="B366" s="203"/>
      <c r="C366" s="203"/>
      <c r="D366" s="203"/>
      <c r="E366" s="203"/>
      <c r="F366" s="203"/>
      <c r="G366" s="203"/>
      <c r="H366" s="203"/>
      <c r="I366" s="203"/>
      <c r="J366" s="203"/>
      <c r="K366" s="207"/>
      <c r="L366" s="207"/>
    </row>
    <row r="367" spans="1:12" ht="15.75" customHeight="1" x14ac:dyDescent="0.25">
      <c r="A367" s="202"/>
      <c r="B367" s="203"/>
      <c r="C367" s="203"/>
      <c r="D367" s="203"/>
      <c r="E367" s="203"/>
      <c r="F367" s="203"/>
      <c r="G367" s="203"/>
      <c r="H367" s="203"/>
      <c r="I367" s="203"/>
      <c r="J367" s="203"/>
      <c r="K367" s="207"/>
      <c r="L367" s="207"/>
    </row>
    <row r="368" spans="1:12" ht="15.75" customHeight="1" x14ac:dyDescent="0.25">
      <c r="A368" s="202"/>
      <c r="B368" s="203"/>
      <c r="C368" s="203"/>
      <c r="D368" s="203"/>
      <c r="E368" s="203"/>
      <c r="F368" s="203"/>
      <c r="G368" s="203"/>
      <c r="H368" s="203"/>
      <c r="I368" s="203"/>
      <c r="J368" s="203"/>
      <c r="K368" s="207"/>
      <c r="L368" s="207"/>
    </row>
    <row r="369" spans="1:12" ht="15.75" customHeight="1" x14ac:dyDescent="0.25">
      <c r="A369" s="202"/>
      <c r="B369" s="203"/>
      <c r="C369" s="203"/>
      <c r="D369" s="203"/>
      <c r="E369" s="203"/>
      <c r="F369" s="203"/>
      <c r="G369" s="203"/>
      <c r="H369" s="203"/>
      <c r="I369" s="203"/>
      <c r="J369" s="203"/>
      <c r="K369" s="207"/>
      <c r="L369" s="207"/>
    </row>
    <row r="370" spans="1:12" ht="15.75" customHeight="1" x14ac:dyDescent="0.25">
      <c r="A370" s="202"/>
      <c r="B370" s="203"/>
      <c r="C370" s="203"/>
      <c r="D370" s="203"/>
      <c r="E370" s="203"/>
      <c r="F370" s="203"/>
      <c r="G370" s="203"/>
      <c r="H370" s="203"/>
      <c r="I370" s="203"/>
      <c r="J370" s="203"/>
      <c r="K370" s="207"/>
      <c r="L370" s="207"/>
    </row>
    <row r="371" spans="1:12" ht="15.75" customHeight="1" x14ac:dyDescent="0.25">
      <c r="A371" s="202"/>
      <c r="B371" s="203"/>
      <c r="C371" s="203"/>
      <c r="D371" s="203"/>
      <c r="E371" s="203"/>
      <c r="F371" s="203"/>
      <c r="G371" s="203"/>
      <c r="H371" s="203"/>
      <c r="I371" s="203"/>
      <c r="J371" s="203"/>
      <c r="K371" s="207"/>
      <c r="L371" s="207"/>
    </row>
    <row r="372" spans="1:12" ht="15.75" customHeight="1" x14ac:dyDescent="0.25">
      <c r="A372" s="202"/>
      <c r="B372" s="203"/>
      <c r="C372" s="203"/>
      <c r="D372" s="203"/>
      <c r="E372" s="203"/>
      <c r="F372" s="203"/>
      <c r="G372" s="203"/>
      <c r="H372" s="203"/>
      <c r="I372" s="203"/>
      <c r="J372" s="203"/>
      <c r="K372" s="207"/>
      <c r="L372" s="207"/>
    </row>
    <row r="373" spans="1:12" ht="15.75" customHeight="1" x14ac:dyDescent="0.25">
      <c r="A373" s="202"/>
      <c r="B373" s="203"/>
      <c r="C373" s="203"/>
      <c r="D373" s="203"/>
      <c r="E373" s="203"/>
      <c r="F373" s="203"/>
      <c r="G373" s="203"/>
      <c r="H373" s="203"/>
      <c r="I373" s="203"/>
      <c r="J373" s="203"/>
      <c r="K373" s="207"/>
      <c r="L373" s="207"/>
    </row>
    <row r="374" spans="1:12" ht="15.75" customHeight="1" x14ac:dyDescent="0.25">
      <c r="A374" s="202"/>
      <c r="B374" s="203"/>
      <c r="C374" s="203"/>
      <c r="D374" s="203"/>
      <c r="E374" s="203"/>
      <c r="F374" s="203"/>
      <c r="G374" s="203"/>
      <c r="H374" s="203"/>
      <c r="I374" s="203"/>
      <c r="J374" s="203"/>
      <c r="K374" s="207"/>
      <c r="L374" s="207"/>
    </row>
    <row r="375" spans="1:12" ht="15.75" customHeight="1" x14ac:dyDescent="0.25">
      <c r="A375" s="202"/>
      <c r="B375" s="203"/>
      <c r="C375" s="203"/>
      <c r="D375" s="203"/>
      <c r="E375" s="203"/>
      <c r="F375" s="203"/>
      <c r="G375" s="203"/>
      <c r="H375" s="203"/>
      <c r="I375" s="203"/>
      <c r="J375" s="203"/>
      <c r="K375" s="207"/>
      <c r="L375" s="207"/>
    </row>
    <row r="376" spans="1:12" ht="15.75" customHeight="1" x14ac:dyDescent="0.25">
      <c r="A376" s="202"/>
      <c r="B376" s="203"/>
      <c r="C376" s="203"/>
      <c r="D376" s="203"/>
      <c r="E376" s="203"/>
      <c r="F376" s="203"/>
      <c r="G376" s="203"/>
      <c r="H376" s="203"/>
      <c r="I376" s="203"/>
      <c r="J376" s="203"/>
      <c r="K376" s="207"/>
      <c r="L376" s="207"/>
    </row>
    <row r="377" spans="1:12" ht="15.75" customHeight="1" x14ac:dyDescent="0.25">
      <c r="A377" s="202"/>
      <c r="B377" s="203"/>
      <c r="C377" s="203"/>
      <c r="D377" s="203"/>
      <c r="E377" s="203"/>
      <c r="F377" s="203"/>
      <c r="G377" s="203"/>
      <c r="H377" s="203"/>
      <c r="I377" s="203"/>
      <c r="J377" s="203"/>
      <c r="K377" s="207"/>
      <c r="L377" s="207"/>
    </row>
    <row r="378" spans="1:12" ht="15.75" customHeight="1" x14ac:dyDescent="0.25">
      <c r="A378" s="202"/>
      <c r="B378" s="203"/>
      <c r="C378" s="203"/>
      <c r="D378" s="203"/>
      <c r="E378" s="203"/>
      <c r="F378" s="203"/>
      <c r="G378" s="203"/>
      <c r="H378" s="203"/>
      <c r="I378" s="203"/>
      <c r="J378" s="203"/>
      <c r="K378" s="207"/>
      <c r="L378" s="207"/>
    </row>
    <row r="379" spans="1:12" ht="15.75" customHeight="1" x14ac:dyDescent="0.25">
      <c r="A379" s="202"/>
      <c r="B379" s="203"/>
      <c r="C379" s="203"/>
      <c r="D379" s="203"/>
      <c r="E379" s="203"/>
      <c r="F379" s="203"/>
      <c r="G379" s="203"/>
      <c r="H379" s="203"/>
      <c r="I379" s="203"/>
      <c r="J379" s="203"/>
      <c r="K379" s="207"/>
      <c r="L379" s="207"/>
    </row>
    <row r="380" spans="1:12" ht="15.75" customHeight="1" x14ac:dyDescent="0.25">
      <c r="A380" s="202"/>
      <c r="B380" s="203"/>
      <c r="C380" s="203"/>
      <c r="D380" s="203"/>
      <c r="E380" s="203"/>
      <c r="F380" s="203"/>
      <c r="G380" s="203"/>
      <c r="H380" s="203"/>
      <c r="I380" s="203"/>
      <c r="J380" s="203"/>
      <c r="K380" s="207"/>
      <c r="L380" s="207"/>
    </row>
    <row r="381" spans="1:12" ht="15.75" customHeight="1" x14ac:dyDescent="0.25">
      <c r="A381" s="202"/>
      <c r="B381" s="203"/>
      <c r="C381" s="203"/>
      <c r="D381" s="203"/>
      <c r="E381" s="203"/>
      <c r="F381" s="203"/>
      <c r="G381" s="203"/>
      <c r="H381" s="203"/>
      <c r="I381" s="203"/>
      <c r="J381" s="203"/>
      <c r="K381" s="207"/>
      <c r="L381" s="207"/>
    </row>
    <row r="382" spans="1:12" ht="15.75" customHeight="1" x14ac:dyDescent="0.25">
      <c r="A382" s="202"/>
      <c r="B382" s="205"/>
      <c r="C382" s="205"/>
      <c r="D382" s="205"/>
      <c r="E382" s="205"/>
      <c r="F382" s="205"/>
      <c r="G382" s="205"/>
      <c r="H382" s="205"/>
      <c r="I382" s="205"/>
      <c r="J382" s="205"/>
      <c r="K382" s="206"/>
      <c r="L382" s="206"/>
    </row>
    <row r="383" spans="1:12" ht="15.75" customHeight="1" x14ac:dyDescent="0.25">
      <c r="A383" s="202"/>
      <c r="B383" s="205"/>
      <c r="C383" s="205"/>
      <c r="D383" s="205"/>
      <c r="E383" s="205"/>
      <c r="F383" s="205"/>
      <c r="G383" s="205"/>
      <c r="H383" s="205"/>
      <c r="I383" s="205"/>
      <c r="J383" s="205"/>
      <c r="K383" s="206"/>
      <c r="L383" s="206"/>
    </row>
    <row r="384" spans="1:12" ht="15.75" customHeight="1" x14ac:dyDescent="0.25">
      <c r="A384" s="202"/>
      <c r="B384" s="205"/>
      <c r="C384" s="205"/>
      <c r="D384" s="205"/>
      <c r="E384" s="205"/>
      <c r="F384" s="205"/>
      <c r="G384" s="205"/>
      <c r="H384" s="205"/>
      <c r="I384" s="205"/>
      <c r="J384" s="205"/>
      <c r="K384" s="206"/>
      <c r="L384" s="206"/>
    </row>
    <row r="385" spans="1:12" ht="15.75" customHeight="1" x14ac:dyDescent="0.25">
      <c r="A385" s="202"/>
      <c r="B385" s="205"/>
      <c r="C385" s="205"/>
      <c r="D385" s="205"/>
      <c r="E385" s="205"/>
      <c r="F385" s="205"/>
      <c r="G385" s="205"/>
      <c r="H385" s="205"/>
      <c r="I385" s="205"/>
      <c r="J385" s="205"/>
      <c r="K385" s="206"/>
      <c r="L385" s="206"/>
    </row>
    <row r="386" spans="1:12" ht="15.75" customHeight="1" x14ac:dyDescent="0.25">
      <c r="A386" s="202"/>
      <c r="B386" s="205"/>
      <c r="C386" s="205"/>
      <c r="D386" s="205"/>
      <c r="E386" s="205"/>
      <c r="F386" s="205"/>
      <c r="G386" s="205"/>
      <c r="H386" s="205"/>
      <c r="I386" s="205"/>
      <c r="J386" s="205"/>
      <c r="K386" s="206"/>
      <c r="L386" s="206"/>
    </row>
    <row r="387" spans="1:12" ht="15.75" customHeight="1" x14ac:dyDescent="0.25">
      <c r="A387" s="202"/>
      <c r="B387" s="205"/>
      <c r="C387" s="205"/>
      <c r="D387" s="205"/>
      <c r="E387" s="205"/>
      <c r="F387" s="205"/>
      <c r="G387" s="205"/>
      <c r="H387" s="205"/>
      <c r="I387" s="205"/>
      <c r="J387" s="205"/>
      <c r="K387" s="206"/>
      <c r="L387" s="206"/>
    </row>
    <row r="388" spans="1:12" ht="15.75" customHeight="1" x14ac:dyDescent="0.25">
      <c r="A388" s="202"/>
      <c r="B388" s="205"/>
      <c r="C388" s="205"/>
      <c r="D388" s="205"/>
      <c r="E388" s="205"/>
      <c r="F388" s="205"/>
      <c r="G388" s="205"/>
      <c r="H388" s="205"/>
      <c r="I388" s="205"/>
      <c r="J388" s="205"/>
      <c r="K388" s="206"/>
      <c r="L388" s="206"/>
    </row>
    <row r="389" spans="1:12" ht="15.75" customHeight="1" x14ac:dyDescent="0.25">
      <c r="A389" s="202"/>
      <c r="B389" s="205"/>
      <c r="C389" s="205"/>
      <c r="D389" s="205"/>
      <c r="E389" s="205"/>
      <c r="F389" s="205"/>
      <c r="G389" s="205"/>
      <c r="H389" s="205"/>
      <c r="I389" s="205"/>
      <c r="J389" s="205"/>
      <c r="K389" s="206"/>
      <c r="L389" s="206"/>
    </row>
    <row r="390" spans="1:12" ht="15.75" customHeight="1" x14ac:dyDescent="0.25">
      <c r="A390" s="202"/>
      <c r="B390" s="205"/>
      <c r="C390" s="205"/>
      <c r="D390" s="205"/>
      <c r="E390" s="205"/>
      <c r="F390" s="205"/>
      <c r="G390" s="205"/>
      <c r="H390" s="205"/>
      <c r="I390" s="205"/>
      <c r="J390" s="205"/>
      <c r="K390" s="206"/>
      <c r="L390" s="206"/>
    </row>
    <row r="391" spans="1:12" ht="15.75" customHeight="1" x14ac:dyDescent="0.25">
      <c r="A391" s="202"/>
      <c r="B391" s="205"/>
      <c r="C391" s="205"/>
      <c r="D391" s="205"/>
      <c r="E391" s="205"/>
      <c r="F391" s="205"/>
      <c r="G391" s="205"/>
      <c r="H391" s="205"/>
      <c r="I391" s="205"/>
      <c r="J391" s="205"/>
      <c r="K391" s="206"/>
      <c r="L391" s="206"/>
    </row>
    <row r="392" spans="1:12" ht="15.75" customHeight="1" x14ac:dyDescent="0.25">
      <c r="A392" s="202"/>
      <c r="B392" s="205"/>
      <c r="C392" s="205"/>
      <c r="D392" s="205"/>
      <c r="E392" s="205"/>
      <c r="F392" s="205"/>
      <c r="G392" s="205"/>
      <c r="H392" s="205"/>
      <c r="I392" s="205"/>
      <c r="J392" s="205"/>
      <c r="K392" s="206"/>
      <c r="L392" s="206"/>
    </row>
    <row r="393" spans="1:12" ht="15.75" customHeight="1" x14ac:dyDescent="0.25">
      <c r="A393" s="202"/>
      <c r="B393" s="205"/>
      <c r="C393" s="205"/>
      <c r="D393" s="205"/>
      <c r="E393" s="205"/>
      <c r="F393" s="205"/>
      <c r="G393" s="205"/>
      <c r="H393" s="205"/>
      <c r="I393" s="205"/>
      <c r="J393" s="205"/>
      <c r="K393" s="206"/>
      <c r="L393" s="206"/>
    </row>
    <row r="394" spans="1:12" ht="15.75" customHeight="1" x14ac:dyDescent="0.25">
      <c r="A394" s="202"/>
      <c r="B394" s="205"/>
      <c r="C394" s="205"/>
      <c r="D394" s="205"/>
      <c r="E394" s="205"/>
      <c r="F394" s="205"/>
      <c r="G394" s="205"/>
      <c r="H394" s="205"/>
      <c r="I394" s="205"/>
      <c r="J394" s="205"/>
      <c r="K394" s="206"/>
      <c r="L394" s="206"/>
    </row>
    <row r="395" spans="1:12" ht="15.75" customHeight="1" x14ac:dyDescent="0.25">
      <c r="A395" s="202"/>
      <c r="B395" s="205"/>
      <c r="C395" s="205"/>
      <c r="D395" s="205"/>
      <c r="E395" s="205"/>
      <c r="F395" s="205"/>
      <c r="G395" s="205"/>
      <c r="H395" s="205"/>
      <c r="I395" s="205"/>
      <c r="J395" s="205"/>
      <c r="K395" s="206"/>
      <c r="L395" s="206"/>
    </row>
    <row r="396" spans="1:12" ht="15.75" customHeight="1" x14ac:dyDescent="0.25">
      <c r="A396" s="202"/>
      <c r="B396" s="205"/>
      <c r="C396" s="205"/>
      <c r="D396" s="205"/>
      <c r="E396" s="205"/>
      <c r="F396" s="205"/>
      <c r="G396" s="205"/>
      <c r="H396" s="205"/>
      <c r="I396" s="205"/>
      <c r="J396" s="205"/>
      <c r="K396" s="206"/>
      <c r="L396" s="206"/>
    </row>
    <row r="397" spans="1:12" ht="15.75" customHeight="1" x14ac:dyDescent="0.25">
      <c r="A397" s="202"/>
      <c r="B397" s="205"/>
      <c r="C397" s="205"/>
      <c r="D397" s="205"/>
      <c r="E397" s="205"/>
      <c r="F397" s="205"/>
      <c r="G397" s="205"/>
      <c r="H397" s="205"/>
      <c r="I397" s="205"/>
      <c r="J397" s="205"/>
      <c r="K397" s="206"/>
      <c r="L397" s="206"/>
    </row>
    <row r="398" spans="1:12" ht="15.75" customHeight="1" x14ac:dyDescent="0.25">
      <c r="A398" s="202"/>
      <c r="B398" s="205"/>
      <c r="C398" s="205"/>
      <c r="D398" s="205"/>
      <c r="E398" s="205"/>
      <c r="F398" s="205"/>
      <c r="G398" s="205"/>
      <c r="H398" s="205"/>
      <c r="I398" s="205"/>
      <c r="J398" s="205"/>
      <c r="K398" s="206"/>
      <c r="L398" s="206"/>
    </row>
    <row r="399" spans="1:12" ht="15.75" customHeight="1" x14ac:dyDescent="0.25">
      <c r="A399" s="202"/>
      <c r="B399" s="205"/>
      <c r="C399" s="205"/>
      <c r="D399" s="205"/>
      <c r="E399" s="205"/>
      <c r="F399" s="205"/>
      <c r="G399" s="205"/>
      <c r="H399" s="205"/>
      <c r="I399" s="205"/>
      <c r="J399" s="205"/>
      <c r="K399" s="206"/>
      <c r="L399" s="206"/>
    </row>
    <row r="400" spans="1:12" ht="15.75" customHeight="1" x14ac:dyDescent="0.25">
      <c r="A400" s="202"/>
      <c r="B400" s="205"/>
      <c r="C400" s="205"/>
      <c r="D400" s="205"/>
      <c r="E400" s="205"/>
      <c r="F400" s="205"/>
      <c r="G400" s="205"/>
      <c r="H400" s="205"/>
      <c r="I400" s="205"/>
      <c r="J400" s="205"/>
      <c r="K400" s="206"/>
      <c r="L400" s="206"/>
    </row>
    <row r="401" spans="1:12" ht="15.75" customHeight="1" x14ac:dyDescent="0.25">
      <c r="A401" s="202"/>
      <c r="B401" s="205"/>
      <c r="C401" s="205"/>
      <c r="D401" s="205"/>
      <c r="E401" s="205"/>
      <c r="F401" s="205"/>
      <c r="G401" s="205"/>
      <c r="H401" s="205"/>
      <c r="I401" s="205"/>
      <c r="J401" s="205"/>
      <c r="K401" s="206"/>
      <c r="L401" s="206"/>
    </row>
    <row r="402" spans="1:12" ht="15.75" customHeight="1" x14ac:dyDescent="0.25">
      <c r="A402" s="202"/>
      <c r="B402" s="205"/>
      <c r="C402" s="205"/>
      <c r="D402" s="205"/>
      <c r="E402" s="205"/>
      <c r="F402" s="205"/>
      <c r="G402" s="205"/>
      <c r="H402" s="205"/>
      <c r="I402" s="205"/>
      <c r="J402" s="205"/>
      <c r="K402" s="206"/>
      <c r="L402" s="206"/>
    </row>
    <row r="403" spans="1:12" ht="15.75" customHeight="1" x14ac:dyDescent="0.25">
      <c r="A403" s="202"/>
      <c r="B403" s="205"/>
      <c r="C403" s="205"/>
      <c r="D403" s="205"/>
      <c r="E403" s="205"/>
      <c r="F403" s="205"/>
      <c r="G403" s="205"/>
      <c r="H403" s="205"/>
      <c r="I403" s="205"/>
      <c r="J403" s="205"/>
      <c r="K403" s="206"/>
      <c r="L403" s="206"/>
    </row>
    <row r="404" spans="1:12" ht="15.75" customHeight="1" x14ac:dyDescent="0.25">
      <c r="A404" s="202"/>
      <c r="B404" s="205"/>
      <c r="C404" s="205"/>
      <c r="D404" s="205"/>
      <c r="E404" s="205"/>
      <c r="F404" s="205"/>
      <c r="G404" s="205"/>
      <c r="H404" s="205"/>
      <c r="I404" s="205"/>
      <c r="J404" s="205"/>
      <c r="K404" s="206"/>
      <c r="L404" s="206"/>
    </row>
    <row r="405" spans="1:12" ht="15.75" customHeight="1" x14ac:dyDescent="0.25">
      <c r="A405" s="202"/>
      <c r="B405" s="205"/>
      <c r="C405" s="205"/>
      <c r="D405" s="205"/>
      <c r="E405" s="205"/>
      <c r="F405" s="205"/>
      <c r="G405" s="205"/>
      <c r="H405" s="205"/>
      <c r="I405" s="205"/>
      <c r="J405" s="205"/>
      <c r="K405" s="206"/>
      <c r="L405" s="206"/>
    </row>
    <row r="406" spans="1:12" ht="15.75" customHeight="1" x14ac:dyDescent="0.25">
      <c r="A406" s="202"/>
      <c r="B406" s="205"/>
      <c r="C406" s="205"/>
      <c r="D406" s="205"/>
      <c r="E406" s="205"/>
      <c r="F406" s="205"/>
      <c r="G406" s="205"/>
      <c r="H406" s="205"/>
      <c r="I406" s="205"/>
      <c r="J406" s="205"/>
      <c r="K406" s="206"/>
      <c r="L406" s="206"/>
    </row>
    <row r="407" spans="1:12" ht="15.75" customHeight="1" x14ac:dyDescent="0.25">
      <c r="A407" s="202"/>
      <c r="B407" s="205"/>
      <c r="C407" s="205"/>
      <c r="D407" s="205"/>
      <c r="E407" s="205"/>
      <c r="F407" s="205"/>
      <c r="G407" s="205"/>
      <c r="H407" s="205"/>
      <c r="I407" s="205"/>
      <c r="J407" s="205"/>
      <c r="K407" s="206"/>
      <c r="L407" s="206"/>
    </row>
    <row r="408" spans="1:12" ht="15.75" customHeight="1" x14ac:dyDescent="0.25">
      <c r="A408" s="202"/>
      <c r="B408" s="205"/>
      <c r="C408" s="205"/>
      <c r="D408" s="205"/>
      <c r="E408" s="205"/>
      <c r="F408" s="205"/>
      <c r="G408" s="205"/>
      <c r="H408" s="205"/>
      <c r="I408" s="205"/>
      <c r="J408" s="205"/>
      <c r="K408" s="206"/>
      <c r="L408" s="206"/>
    </row>
    <row r="409" spans="1:12" ht="15.75" customHeight="1" x14ac:dyDescent="0.25">
      <c r="A409" s="202"/>
      <c r="B409" s="205"/>
      <c r="C409" s="205"/>
      <c r="D409" s="205"/>
      <c r="E409" s="205"/>
      <c r="F409" s="205"/>
      <c r="G409" s="205"/>
      <c r="H409" s="205"/>
      <c r="I409" s="205"/>
      <c r="J409" s="205"/>
      <c r="K409" s="206"/>
      <c r="L409" s="206"/>
    </row>
    <row r="410" spans="1:12" ht="15.75" customHeight="1" x14ac:dyDescent="0.25">
      <c r="A410" s="202"/>
      <c r="B410" s="205"/>
      <c r="C410" s="205"/>
      <c r="D410" s="205"/>
      <c r="E410" s="205"/>
      <c r="F410" s="205"/>
      <c r="G410" s="205"/>
      <c r="H410" s="205"/>
      <c r="I410" s="205"/>
      <c r="J410" s="205"/>
      <c r="K410" s="206"/>
      <c r="L410" s="206"/>
    </row>
    <row r="411" spans="1:12" ht="15.75" customHeight="1" x14ac:dyDescent="0.25">
      <c r="A411" s="202"/>
      <c r="B411" s="205"/>
      <c r="C411" s="205"/>
      <c r="D411" s="205"/>
      <c r="E411" s="205"/>
      <c r="F411" s="205"/>
      <c r="G411" s="205"/>
      <c r="H411" s="205"/>
      <c r="I411" s="205"/>
      <c r="J411" s="205"/>
      <c r="K411" s="206"/>
      <c r="L411" s="206"/>
    </row>
    <row r="412" spans="1:12" ht="15.75" customHeight="1" x14ac:dyDescent="0.25">
      <c r="A412" s="202"/>
      <c r="B412" s="205"/>
      <c r="C412" s="205"/>
      <c r="D412" s="205"/>
      <c r="E412" s="205"/>
      <c r="F412" s="205"/>
      <c r="G412" s="205"/>
      <c r="H412" s="205"/>
      <c r="I412" s="205"/>
      <c r="J412" s="205"/>
      <c r="K412" s="206"/>
      <c r="L412" s="206"/>
    </row>
    <row r="413" spans="1:12" ht="15.75" customHeight="1" x14ac:dyDescent="0.25">
      <c r="A413" s="202"/>
      <c r="B413" s="205"/>
      <c r="C413" s="205"/>
      <c r="D413" s="205"/>
      <c r="E413" s="205"/>
      <c r="F413" s="205"/>
      <c r="G413" s="205"/>
      <c r="H413" s="205"/>
      <c r="I413" s="205"/>
      <c r="J413" s="205"/>
      <c r="K413" s="206"/>
      <c r="L413" s="206"/>
    </row>
    <row r="414" spans="1:12" ht="15.75" customHeight="1" x14ac:dyDescent="0.25">
      <c r="A414" s="202"/>
      <c r="B414" s="205"/>
      <c r="C414" s="205"/>
      <c r="D414" s="205"/>
      <c r="E414" s="205"/>
      <c r="F414" s="205"/>
      <c r="G414" s="205"/>
      <c r="H414" s="205"/>
      <c r="I414" s="205"/>
      <c r="J414" s="205"/>
      <c r="K414" s="206"/>
      <c r="L414" s="206"/>
    </row>
    <row r="415" spans="1:12" ht="15.75" customHeight="1" x14ac:dyDescent="0.25">
      <c r="A415" s="202"/>
      <c r="B415" s="205"/>
      <c r="C415" s="205"/>
      <c r="D415" s="205"/>
      <c r="E415" s="205"/>
      <c r="F415" s="205"/>
      <c r="G415" s="205"/>
      <c r="H415" s="205"/>
      <c r="I415" s="205"/>
      <c r="J415" s="205"/>
      <c r="K415" s="206"/>
      <c r="L415" s="206"/>
    </row>
    <row r="416" spans="1:12" ht="15.75" customHeight="1" x14ac:dyDescent="0.25">
      <c r="A416" s="202"/>
      <c r="B416" s="205"/>
      <c r="C416" s="205"/>
      <c r="D416" s="205"/>
      <c r="E416" s="205"/>
      <c r="F416" s="205"/>
      <c r="G416" s="205"/>
      <c r="H416" s="205"/>
      <c r="I416" s="205"/>
      <c r="J416" s="205"/>
      <c r="K416" s="206"/>
      <c r="L416" s="206"/>
    </row>
    <row r="417" spans="1:12" ht="15.75" customHeight="1" x14ac:dyDescent="0.25">
      <c r="A417" s="202"/>
      <c r="B417" s="205"/>
      <c r="C417" s="205"/>
      <c r="D417" s="205"/>
      <c r="E417" s="205"/>
      <c r="F417" s="205"/>
      <c r="G417" s="205"/>
      <c r="H417" s="205"/>
      <c r="I417" s="205"/>
      <c r="J417" s="205"/>
      <c r="K417" s="206"/>
      <c r="L417" s="206"/>
    </row>
    <row r="418" spans="1:12" ht="15.75" customHeight="1" x14ac:dyDescent="0.25">
      <c r="A418" s="202"/>
      <c r="B418" s="205"/>
      <c r="C418" s="205"/>
      <c r="D418" s="205"/>
      <c r="E418" s="205"/>
      <c r="F418" s="205"/>
      <c r="G418" s="205"/>
      <c r="H418" s="205"/>
      <c r="I418" s="205"/>
      <c r="J418" s="205"/>
      <c r="K418" s="206"/>
      <c r="L418" s="206"/>
    </row>
    <row r="419" spans="1:12" ht="15.75" customHeight="1" x14ac:dyDescent="0.25">
      <c r="A419" s="202"/>
      <c r="B419" s="205"/>
      <c r="C419" s="205"/>
      <c r="D419" s="205"/>
      <c r="E419" s="205"/>
      <c r="F419" s="205"/>
      <c r="G419" s="205"/>
      <c r="H419" s="205"/>
      <c r="I419" s="205"/>
      <c r="J419" s="205"/>
      <c r="K419" s="206"/>
      <c r="L419" s="206"/>
    </row>
    <row r="420" spans="1:12" ht="15.75" customHeight="1" x14ac:dyDescent="0.25">
      <c r="A420" s="202"/>
      <c r="B420" s="205"/>
      <c r="C420" s="205"/>
      <c r="D420" s="205"/>
      <c r="E420" s="205"/>
      <c r="F420" s="205"/>
      <c r="G420" s="205"/>
      <c r="H420" s="205"/>
      <c r="I420" s="205"/>
      <c r="J420" s="205"/>
      <c r="K420" s="206"/>
      <c r="L420" s="206"/>
    </row>
    <row r="421" spans="1:12" ht="15.75" customHeight="1" x14ac:dyDescent="0.25">
      <c r="A421" s="202"/>
      <c r="B421" s="205"/>
      <c r="C421" s="205"/>
      <c r="D421" s="205"/>
      <c r="E421" s="205"/>
      <c r="F421" s="205"/>
      <c r="G421" s="205"/>
      <c r="H421" s="205"/>
      <c r="I421" s="205"/>
      <c r="J421" s="205"/>
      <c r="K421" s="206"/>
      <c r="L421" s="206"/>
    </row>
    <row r="422" spans="1:12" ht="15.75" customHeight="1" x14ac:dyDescent="0.25">
      <c r="A422" s="202"/>
      <c r="B422" s="205"/>
      <c r="C422" s="205"/>
      <c r="D422" s="205"/>
      <c r="E422" s="205"/>
      <c r="F422" s="205"/>
      <c r="G422" s="205"/>
      <c r="H422" s="205"/>
      <c r="I422" s="205"/>
      <c r="J422" s="205"/>
      <c r="K422" s="206"/>
      <c r="L422" s="206"/>
    </row>
    <row r="423" spans="1:12" ht="15.75" customHeight="1" x14ac:dyDescent="0.25">
      <c r="A423" s="202"/>
      <c r="B423" s="205"/>
      <c r="C423" s="205"/>
      <c r="D423" s="205"/>
      <c r="E423" s="205"/>
      <c r="F423" s="205"/>
      <c r="G423" s="205"/>
      <c r="H423" s="205"/>
      <c r="I423" s="205"/>
      <c r="J423" s="205"/>
      <c r="K423" s="206"/>
      <c r="L423" s="206"/>
    </row>
    <row r="424" spans="1:12" ht="15.75" customHeight="1" x14ac:dyDescent="0.25">
      <c r="A424" s="202"/>
      <c r="B424" s="205"/>
      <c r="C424" s="205"/>
      <c r="D424" s="205"/>
      <c r="E424" s="205"/>
      <c r="F424" s="205"/>
      <c r="G424" s="205"/>
      <c r="H424" s="205"/>
      <c r="I424" s="205"/>
      <c r="J424" s="205"/>
      <c r="K424" s="206"/>
      <c r="L424" s="206"/>
    </row>
    <row r="425" spans="1:12" ht="15.75" customHeight="1" x14ac:dyDescent="0.25">
      <c r="A425" s="202"/>
      <c r="B425" s="205"/>
      <c r="C425" s="205"/>
      <c r="D425" s="205"/>
      <c r="E425" s="205"/>
      <c r="F425" s="205"/>
      <c r="G425" s="205"/>
      <c r="H425" s="205"/>
      <c r="I425" s="205"/>
      <c r="J425" s="205"/>
      <c r="K425" s="206"/>
      <c r="L425" s="206"/>
    </row>
    <row r="426" spans="1:12" ht="15.75" customHeight="1" x14ac:dyDescent="0.25">
      <c r="A426" s="202"/>
      <c r="B426" s="205"/>
      <c r="C426" s="205"/>
      <c r="D426" s="205"/>
      <c r="E426" s="205"/>
      <c r="F426" s="205"/>
      <c r="G426" s="205"/>
      <c r="H426" s="205"/>
      <c r="I426" s="205"/>
      <c r="J426" s="205"/>
      <c r="K426" s="206"/>
      <c r="L426" s="206"/>
    </row>
    <row r="427" spans="1:12" ht="15.75" customHeight="1" x14ac:dyDescent="0.25">
      <c r="A427" s="202"/>
      <c r="B427" s="205"/>
      <c r="C427" s="205"/>
      <c r="D427" s="205"/>
      <c r="E427" s="205"/>
      <c r="F427" s="205"/>
      <c r="G427" s="205"/>
      <c r="H427" s="205"/>
      <c r="I427" s="205"/>
      <c r="J427" s="205"/>
      <c r="K427" s="206"/>
      <c r="L427" s="206"/>
    </row>
    <row r="428" spans="1:12" ht="15.75" customHeight="1" x14ac:dyDescent="0.25">
      <c r="A428" s="202"/>
      <c r="B428" s="205"/>
      <c r="C428" s="205"/>
      <c r="D428" s="205"/>
      <c r="E428" s="205"/>
      <c r="F428" s="205"/>
      <c r="G428" s="205"/>
      <c r="H428" s="205"/>
      <c r="I428" s="205"/>
      <c r="J428" s="205"/>
      <c r="K428" s="206"/>
      <c r="L428" s="206"/>
    </row>
    <row r="429" spans="1:12" ht="15.75" customHeight="1" x14ac:dyDescent="0.25">
      <c r="A429" s="202"/>
      <c r="B429" s="205"/>
      <c r="C429" s="205"/>
      <c r="D429" s="205"/>
      <c r="E429" s="205"/>
      <c r="F429" s="205"/>
      <c r="G429" s="205"/>
      <c r="H429" s="205"/>
      <c r="I429" s="205"/>
      <c r="J429" s="205"/>
      <c r="K429" s="206"/>
      <c r="L429" s="206"/>
    </row>
    <row r="430" spans="1:12" ht="15.75" customHeight="1" x14ac:dyDescent="0.25">
      <c r="A430" s="202"/>
      <c r="B430" s="205"/>
      <c r="C430" s="205"/>
      <c r="D430" s="205"/>
      <c r="E430" s="205"/>
      <c r="F430" s="205"/>
      <c r="G430" s="205"/>
      <c r="H430" s="205"/>
      <c r="I430" s="205"/>
      <c r="J430" s="205"/>
      <c r="K430" s="206"/>
      <c r="L430" s="206"/>
    </row>
    <row r="431" spans="1:12" ht="15.75" customHeight="1" x14ac:dyDescent="0.25">
      <c r="A431" s="202"/>
      <c r="B431" s="205"/>
      <c r="C431" s="205"/>
      <c r="D431" s="205"/>
      <c r="E431" s="205"/>
      <c r="F431" s="205"/>
      <c r="G431" s="205"/>
      <c r="H431" s="205"/>
      <c r="I431" s="205"/>
      <c r="J431" s="205"/>
      <c r="K431" s="206"/>
      <c r="L431" s="206"/>
    </row>
    <row r="432" spans="1:12" ht="15.75" customHeight="1" x14ac:dyDescent="0.25">
      <c r="A432" s="202"/>
      <c r="B432" s="205"/>
      <c r="C432" s="205"/>
      <c r="D432" s="205"/>
      <c r="E432" s="205"/>
      <c r="F432" s="205"/>
      <c r="G432" s="205"/>
      <c r="H432" s="205"/>
      <c r="I432" s="205"/>
      <c r="J432" s="205"/>
      <c r="K432" s="206"/>
      <c r="L432" s="206"/>
    </row>
    <row r="433" spans="1:12" ht="15.75" customHeight="1" x14ac:dyDescent="0.25">
      <c r="A433" s="202"/>
      <c r="B433" s="205"/>
      <c r="C433" s="205"/>
      <c r="D433" s="205"/>
      <c r="E433" s="205"/>
      <c r="F433" s="205"/>
      <c r="G433" s="205"/>
      <c r="H433" s="205"/>
      <c r="I433" s="205"/>
      <c r="J433" s="205"/>
      <c r="K433" s="206"/>
      <c r="L433" s="206"/>
    </row>
    <row r="434" spans="1:12" ht="15.75" customHeight="1" x14ac:dyDescent="0.25">
      <c r="A434" s="202"/>
      <c r="B434" s="205"/>
      <c r="C434" s="205"/>
      <c r="D434" s="205"/>
      <c r="E434" s="205"/>
      <c r="F434" s="205"/>
      <c r="G434" s="205"/>
      <c r="H434" s="205"/>
      <c r="I434" s="205"/>
      <c r="J434" s="205"/>
      <c r="K434" s="206"/>
      <c r="L434" s="206"/>
    </row>
    <row r="435" spans="1:12" ht="15.75" customHeight="1" x14ac:dyDescent="0.25">
      <c r="A435" s="202"/>
      <c r="B435" s="205"/>
      <c r="C435" s="205"/>
      <c r="D435" s="205"/>
      <c r="E435" s="205"/>
      <c r="F435" s="205"/>
      <c r="G435" s="205"/>
      <c r="H435" s="205"/>
      <c r="I435" s="205"/>
      <c r="J435" s="205"/>
      <c r="K435" s="206"/>
      <c r="L435" s="206"/>
    </row>
    <row r="436" spans="1:12" ht="15.75" customHeight="1" x14ac:dyDescent="0.25">
      <c r="A436" s="202"/>
      <c r="B436" s="205"/>
      <c r="C436" s="205"/>
      <c r="D436" s="205"/>
      <c r="E436" s="205"/>
      <c r="F436" s="205"/>
      <c r="G436" s="205"/>
      <c r="H436" s="205"/>
      <c r="I436" s="205"/>
      <c r="J436" s="205"/>
      <c r="K436" s="206"/>
      <c r="L436" s="206"/>
    </row>
    <row r="437" spans="1:12" ht="15.75" customHeight="1" x14ac:dyDescent="0.25">
      <c r="A437" s="202"/>
      <c r="B437" s="205"/>
      <c r="C437" s="205"/>
      <c r="D437" s="205"/>
      <c r="E437" s="205"/>
      <c r="F437" s="205"/>
      <c r="G437" s="205"/>
      <c r="H437" s="205"/>
      <c r="I437" s="205"/>
      <c r="J437" s="205"/>
      <c r="K437" s="206"/>
      <c r="L437" s="206"/>
    </row>
    <row r="438" spans="1:12" ht="15.75" customHeight="1" x14ac:dyDescent="0.25">
      <c r="A438" s="202"/>
      <c r="B438" s="205"/>
      <c r="C438" s="205"/>
      <c r="D438" s="205"/>
      <c r="E438" s="205"/>
      <c r="F438" s="205"/>
      <c r="G438" s="205"/>
      <c r="H438" s="205"/>
      <c r="I438" s="205"/>
      <c r="J438" s="205"/>
      <c r="K438" s="206"/>
      <c r="L438" s="206"/>
    </row>
    <row r="439" spans="1:12" ht="15.75" customHeight="1" x14ac:dyDescent="0.25">
      <c r="A439" s="202"/>
      <c r="B439" s="205"/>
      <c r="C439" s="205"/>
      <c r="D439" s="205"/>
      <c r="E439" s="205"/>
      <c r="F439" s="205"/>
      <c r="G439" s="205"/>
      <c r="H439" s="205"/>
      <c r="I439" s="205"/>
      <c r="J439" s="205"/>
      <c r="K439" s="206"/>
      <c r="L439" s="206"/>
    </row>
    <row r="440" spans="1:12" ht="15.75" customHeight="1" x14ac:dyDescent="0.25">
      <c r="A440" s="202"/>
      <c r="B440" s="205"/>
      <c r="C440" s="205"/>
      <c r="D440" s="205"/>
      <c r="E440" s="205"/>
      <c r="F440" s="205"/>
      <c r="G440" s="205"/>
      <c r="H440" s="205"/>
      <c r="I440" s="205"/>
      <c r="J440" s="205"/>
      <c r="K440" s="206"/>
      <c r="L440" s="206"/>
    </row>
    <row r="441" spans="1:12" ht="15.75" customHeight="1" x14ac:dyDescent="0.25">
      <c r="A441" s="202"/>
      <c r="B441" s="205"/>
      <c r="C441" s="205"/>
      <c r="D441" s="205"/>
      <c r="E441" s="205"/>
      <c r="F441" s="205"/>
      <c r="G441" s="205"/>
      <c r="H441" s="205"/>
      <c r="I441" s="205"/>
      <c r="J441" s="205"/>
      <c r="K441" s="206"/>
      <c r="L441" s="206"/>
    </row>
    <row r="442" spans="1:12" ht="15.75" customHeight="1" x14ac:dyDescent="0.25">
      <c r="A442" s="202"/>
      <c r="B442" s="205"/>
      <c r="C442" s="205"/>
      <c r="D442" s="205"/>
      <c r="E442" s="205"/>
      <c r="F442" s="205"/>
      <c r="G442" s="205"/>
      <c r="H442" s="205"/>
      <c r="I442" s="205"/>
      <c r="J442" s="205"/>
      <c r="K442" s="206"/>
      <c r="L442" s="206"/>
    </row>
    <row r="443" spans="1:12" ht="15.75" customHeight="1" x14ac:dyDescent="0.25">
      <c r="A443" s="202"/>
      <c r="B443" s="205"/>
      <c r="C443" s="205"/>
      <c r="D443" s="205"/>
      <c r="E443" s="205"/>
      <c r="F443" s="205"/>
      <c r="G443" s="205"/>
      <c r="H443" s="205"/>
      <c r="I443" s="205"/>
      <c r="J443" s="205"/>
      <c r="K443" s="206"/>
      <c r="L443" s="206"/>
    </row>
    <row r="444" spans="1:12" ht="15.75" customHeight="1" x14ac:dyDescent="0.25">
      <c r="A444" s="202"/>
      <c r="B444" s="205"/>
      <c r="C444" s="205"/>
      <c r="D444" s="205"/>
      <c r="E444" s="205"/>
      <c r="F444" s="205"/>
      <c r="G444" s="205"/>
      <c r="H444" s="205"/>
      <c r="I444" s="205"/>
      <c r="J444" s="205"/>
      <c r="K444" s="206"/>
      <c r="L444" s="206"/>
    </row>
    <row r="445" spans="1:12" ht="15.75" customHeight="1" x14ac:dyDescent="0.25">
      <c r="A445" s="202"/>
      <c r="B445" s="205"/>
      <c r="C445" s="205"/>
      <c r="D445" s="205"/>
      <c r="E445" s="205"/>
      <c r="F445" s="205"/>
      <c r="G445" s="205"/>
      <c r="H445" s="205"/>
      <c r="I445" s="205"/>
      <c r="J445" s="205"/>
      <c r="K445" s="206"/>
      <c r="L445" s="206"/>
    </row>
    <row r="446" spans="1:12" ht="15.75" customHeight="1" x14ac:dyDescent="0.25">
      <c r="A446" s="202"/>
      <c r="B446" s="205"/>
      <c r="C446" s="205"/>
      <c r="D446" s="205"/>
      <c r="E446" s="205"/>
      <c r="F446" s="205"/>
      <c r="G446" s="205"/>
      <c r="H446" s="205"/>
      <c r="I446" s="205"/>
      <c r="J446" s="205"/>
      <c r="K446" s="206"/>
      <c r="L446" s="206"/>
    </row>
    <row r="447" spans="1:12" ht="15.75" customHeight="1" x14ac:dyDescent="0.25">
      <c r="A447" s="202"/>
      <c r="B447" s="205"/>
      <c r="C447" s="205"/>
      <c r="D447" s="205"/>
      <c r="E447" s="205"/>
      <c r="F447" s="205"/>
      <c r="G447" s="205"/>
      <c r="H447" s="205"/>
      <c r="I447" s="205"/>
      <c r="J447" s="205"/>
      <c r="K447" s="206"/>
      <c r="L447" s="206"/>
    </row>
    <row r="448" spans="1:12" ht="15.75" customHeight="1" x14ac:dyDescent="0.25">
      <c r="A448" s="202"/>
      <c r="B448" s="205"/>
      <c r="C448" s="205"/>
      <c r="D448" s="205"/>
      <c r="E448" s="205"/>
      <c r="F448" s="205"/>
      <c r="G448" s="205"/>
      <c r="H448" s="205"/>
      <c r="I448" s="205"/>
      <c r="J448" s="205"/>
      <c r="K448" s="206"/>
      <c r="L448" s="206"/>
    </row>
    <row r="449" spans="1:12" ht="15.75" customHeight="1" x14ac:dyDescent="0.25">
      <c r="A449" s="202"/>
      <c r="B449" s="205"/>
      <c r="C449" s="205"/>
      <c r="D449" s="205"/>
      <c r="E449" s="205"/>
      <c r="F449" s="205"/>
      <c r="G449" s="205"/>
      <c r="H449" s="205"/>
      <c r="I449" s="205"/>
      <c r="J449" s="205"/>
      <c r="K449" s="206"/>
      <c r="L449" s="206"/>
    </row>
    <row r="450" spans="1:12" ht="15.75" customHeight="1" x14ac:dyDescent="0.25">
      <c r="A450" s="202"/>
      <c r="B450" s="205"/>
      <c r="C450" s="205"/>
      <c r="D450" s="205"/>
      <c r="E450" s="205"/>
      <c r="F450" s="205"/>
      <c r="G450" s="205"/>
      <c r="H450" s="205"/>
      <c r="I450" s="205"/>
      <c r="J450" s="205"/>
      <c r="K450" s="206"/>
      <c r="L450" s="206"/>
    </row>
    <row r="451" spans="1:12" ht="15.75" customHeight="1" x14ac:dyDescent="0.25">
      <c r="A451" s="202"/>
      <c r="B451" s="205"/>
      <c r="C451" s="205"/>
      <c r="D451" s="205"/>
      <c r="E451" s="205"/>
      <c r="F451" s="205"/>
      <c r="G451" s="205"/>
      <c r="H451" s="205"/>
      <c r="I451" s="205"/>
      <c r="J451" s="205"/>
      <c r="K451" s="206"/>
      <c r="L451" s="206"/>
    </row>
    <row r="452" spans="1:12" ht="15.75" customHeight="1" x14ac:dyDescent="0.25">
      <c r="A452" s="202"/>
      <c r="B452" s="205"/>
      <c r="C452" s="205"/>
      <c r="D452" s="205"/>
      <c r="E452" s="205"/>
      <c r="F452" s="205"/>
      <c r="G452" s="205"/>
      <c r="H452" s="205"/>
      <c r="I452" s="205"/>
      <c r="J452" s="205"/>
      <c r="K452" s="206"/>
      <c r="L452" s="206"/>
    </row>
    <row r="453" spans="1:12" ht="15.75" customHeight="1" x14ac:dyDescent="0.25">
      <c r="A453" s="202"/>
      <c r="B453" s="205"/>
      <c r="C453" s="205"/>
      <c r="D453" s="205"/>
      <c r="E453" s="205"/>
      <c r="F453" s="205"/>
      <c r="G453" s="205"/>
      <c r="H453" s="205"/>
      <c r="I453" s="205"/>
      <c r="J453" s="205"/>
      <c r="K453" s="206"/>
      <c r="L453" s="206"/>
    </row>
    <row r="454" spans="1:12" ht="15.75" customHeight="1" x14ac:dyDescent="0.25">
      <c r="A454" s="202"/>
      <c r="B454" s="205"/>
      <c r="C454" s="205"/>
      <c r="D454" s="205"/>
      <c r="E454" s="205"/>
      <c r="F454" s="205"/>
      <c r="G454" s="205"/>
      <c r="H454" s="205"/>
      <c r="I454" s="205"/>
      <c r="J454" s="205"/>
      <c r="K454" s="206"/>
      <c r="L454" s="206"/>
    </row>
    <row r="455" spans="1:12" ht="15.75" customHeight="1" x14ac:dyDescent="0.25">
      <c r="A455" s="202"/>
      <c r="B455" s="205"/>
      <c r="C455" s="205"/>
      <c r="D455" s="205"/>
      <c r="E455" s="205"/>
      <c r="F455" s="205"/>
      <c r="G455" s="205"/>
      <c r="H455" s="205"/>
      <c r="I455" s="205"/>
      <c r="J455" s="205"/>
      <c r="K455" s="206"/>
      <c r="L455" s="206"/>
    </row>
    <row r="456" spans="1:12" ht="15.75" customHeight="1" x14ac:dyDescent="0.25">
      <c r="A456" s="202"/>
      <c r="B456" s="205"/>
      <c r="C456" s="205"/>
      <c r="D456" s="205"/>
      <c r="E456" s="205"/>
      <c r="F456" s="205"/>
      <c r="G456" s="205"/>
      <c r="H456" s="205"/>
      <c r="I456" s="205"/>
      <c r="J456" s="205"/>
      <c r="K456" s="206"/>
      <c r="L456" s="206"/>
    </row>
    <row r="457" spans="1:12" ht="15.75" customHeight="1" x14ac:dyDescent="0.25">
      <c r="A457" s="202"/>
      <c r="B457" s="205"/>
      <c r="C457" s="205"/>
      <c r="D457" s="205"/>
      <c r="E457" s="205"/>
      <c r="F457" s="205"/>
      <c r="G457" s="205"/>
      <c r="H457" s="205"/>
      <c r="I457" s="205"/>
      <c r="J457" s="205"/>
      <c r="K457" s="206"/>
      <c r="L457" s="206"/>
    </row>
    <row r="458" spans="1:12" ht="15.75" customHeight="1" x14ac:dyDescent="0.25">
      <c r="A458" s="202"/>
      <c r="B458" s="205"/>
      <c r="C458" s="205"/>
      <c r="D458" s="205"/>
      <c r="E458" s="205"/>
      <c r="F458" s="205"/>
      <c r="G458" s="205"/>
      <c r="H458" s="205"/>
      <c r="I458" s="205"/>
      <c r="J458" s="205"/>
      <c r="K458" s="206"/>
      <c r="L458" s="206"/>
    </row>
    <row r="459" spans="1:12" ht="15.75" customHeight="1" x14ac:dyDescent="0.25">
      <c r="A459" s="202"/>
      <c r="B459" s="205"/>
      <c r="C459" s="205"/>
      <c r="D459" s="205"/>
      <c r="E459" s="205"/>
      <c r="F459" s="205"/>
      <c r="G459" s="205"/>
      <c r="H459" s="205"/>
      <c r="I459" s="205"/>
      <c r="J459" s="205"/>
      <c r="K459" s="206"/>
      <c r="L459" s="206"/>
    </row>
    <row r="460" spans="1:12" ht="15.75" customHeight="1" x14ac:dyDescent="0.25">
      <c r="A460" s="202"/>
      <c r="B460" s="205"/>
      <c r="C460" s="205"/>
      <c r="D460" s="205"/>
      <c r="E460" s="205"/>
      <c r="F460" s="205"/>
      <c r="G460" s="205"/>
      <c r="H460" s="205"/>
      <c r="I460" s="205"/>
      <c r="J460" s="205"/>
      <c r="K460" s="206"/>
      <c r="L460" s="206"/>
    </row>
    <row r="461" spans="1:12" ht="15.75" customHeight="1" x14ac:dyDescent="0.25">
      <c r="A461" s="202"/>
      <c r="B461" s="205"/>
      <c r="C461" s="205"/>
      <c r="D461" s="205"/>
      <c r="E461" s="205"/>
      <c r="F461" s="205"/>
      <c r="G461" s="205"/>
      <c r="H461" s="205"/>
      <c r="I461" s="205"/>
      <c r="J461" s="205"/>
      <c r="K461" s="206"/>
      <c r="L461" s="206"/>
    </row>
    <row r="462" spans="1:12" ht="15.75" customHeight="1" x14ac:dyDescent="0.25">
      <c r="A462" s="202"/>
      <c r="B462" s="205"/>
      <c r="C462" s="205"/>
      <c r="D462" s="205"/>
      <c r="E462" s="205"/>
      <c r="F462" s="205"/>
      <c r="G462" s="205"/>
      <c r="H462" s="205"/>
      <c r="I462" s="205"/>
      <c r="J462" s="205"/>
      <c r="K462" s="206"/>
      <c r="L462" s="206"/>
    </row>
    <row r="463" spans="1:12" ht="15.75" customHeight="1" x14ac:dyDescent="0.25">
      <c r="A463" s="202"/>
      <c r="B463" s="205"/>
      <c r="C463" s="205"/>
      <c r="D463" s="205"/>
      <c r="E463" s="205"/>
      <c r="F463" s="205"/>
      <c r="G463" s="205"/>
      <c r="H463" s="205"/>
      <c r="I463" s="205"/>
      <c r="J463" s="205"/>
      <c r="K463" s="206"/>
      <c r="L463" s="206"/>
    </row>
    <row r="464" spans="1:12" ht="15.75" customHeight="1" x14ac:dyDescent="0.25">
      <c r="J464" s="212"/>
    </row>
    <row r="465" spans="10:10" ht="15.75" customHeight="1" x14ac:dyDescent="0.25">
      <c r="J465" s="212"/>
    </row>
    <row r="466" spans="10:10" ht="15.75" customHeight="1" x14ac:dyDescent="0.25">
      <c r="J466" s="212"/>
    </row>
    <row r="467" spans="10:10" ht="15.75" customHeight="1" x14ac:dyDescent="0.25">
      <c r="J467" s="212"/>
    </row>
    <row r="468" spans="10:10" ht="15.75" customHeight="1" x14ac:dyDescent="0.25">
      <c r="J468" s="212"/>
    </row>
    <row r="469" spans="10:10" ht="15.75" customHeight="1" x14ac:dyDescent="0.25">
      <c r="J469" s="212"/>
    </row>
    <row r="470" spans="10:10" ht="15.75" customHeight="1" x14ac:dyDescent="0.25">
      <c r="J470" s="212"/>
    </row>
    <row r="471" spans="10:10" ht="15.75" customHeight="1" x14ac:dyDescent="0.25">
      <c r="J471" s="212"/>
    </row>
    <row r="472" spans="10:10" ht="15.75" customHeight="1" x14ac:dyDescent="0.25">
      <c r="J472" s="212"/>
    </row>
    <row r="473" spans="10:10" ht="15.75" customHeight="1" x14ac:dyDescent="0.25">
      <c r="J473" s="212"/>
    </row>
    <row r="474" spans="10:10" ht="15.75" customHeight="1" x14ac:dyDescent="0.25">
      <c r="J474" s="212"/>
    </row>
    <row r="475" spans="10:10" ht="15.75" customHeight="1" x14ac:dyDescent="0.25">
      <c r="J475" s="212"/>
    </row>
    <row r="476" spans="10:10" ht="15.75" customHeight="1" x14ac:dyDescent="0.25">
      <c r="J476" s="212"/>
    </row>
    <row r="477" spans="10:10" ht="15.75" customHeight="1" x14ac:dyDescent="0.25">
      <c r="J477" s="212"/>
    </row>
    <row r="478" spans="10:10" ht="15.75" customHeight="1" x14ac:dyDescent="0.25">
      <c r="J478" s="212"/>
    </row>
    <row r="479" spans="10:10" ht="15.75" customHeight="1" x14ac:dyDescent="0.25">
      <c r="J479" s="212"/>
    </row>
    <row r="480" spans="10:10" ht="15.75" customHeight="1" x14ac:dyDescent="0.25">
      <c r="J480" s="212"/>
    </row>
    <row r="481" spans="10:10" ht="15.75" customHeight="1" x14ac:dyDescent="0.25">
      <c r="J481" s="212"/>
    </row>
    <row r="482" spans="10:10" ht="15.75" customHeight="1" x14ac:dyDescent="0.25">
      <c r="J482" s="212"/>
    </row>
    <row r="483" spans="10:10" ht="15.75" customHeight="1" x14ac:dyDescent="0.25">
      <c r="J483" s="212"/>
    </row>
    <row r="484" spans="10:10" ht="15.75" customHeight="1" x14ac:dyDescent="0.25">
      <c r="J484" s="212"/>
    </row>
    <row r="485" spans="10:10" ht="15.75" customHeight="1" x14ac:dyDescent="0.25">
      <c r="J485" s="212"/>
    </row>
    <row r="486" spans="10:10" ht="15.75" customHeight="1" x14ac:dyDescent="0.25">
      <c r="J486" s="212"/>
    </row>
    <row r="487" spans="10:10" ht="15.75" customHeight="1" x14ac:dyDescent="0.25">
      <c r="J487" s="212"/>
    </row>
    <row r="488" spans="10:10" ht="15.75" customHeight="1" x14ac:dyDescent="0.25">
      <c r="J488" s="212"/>
    </row>
    <row r="489" spans="10:10" ht="15.75" customHeight="1" x14ac:dyDescent="0.25">
      <c r="J489" s="212"/>
    </row>
    <row r="490" spans="10:10" ht="15.75" customHeight="1" x14ac:dyDescent="0.25">
      <c r="J490" s="212"/>
    </row>
    <row r="491" spans="10:10" ht="15.75" customHeight="1" x14ac:dyDescent="0.25">
      <c r="J491" s="212"/>
    </row>
    <row r="492" spans="10:10" ht="15.75" customHeight="1" x14ac:dyDescent="0.25">
      <c r="J492" s="212"/>
    </row>
    <row r="493" spans="10:10" ht="15.75" customHeight="1" x14ac:dyDescent="0.25">
      <c r="J493" s="212"/>
    </row>
    <row r="494" spans="10:10" ht="15.75" customHeight="1" x14ac:dyDescent="0.25">
      <c r="J494" s="212"/>
    </row>
    <row r="495" spans="10:10" ht="15.75" customHeight="1" x14ac:dyDescent="0.25">
      <c r="J495" s="212"/>
    </row>
    <row r="496" spans="10:10" ht="15.75" customHeight="1" x14ac:dyDescent="0.25">
      <c r="J496" s="212"/>
    </row>
    <row r="497" spans="10:10" ht="15.75" customHeight="1" x14ac:dyDescent="0.25">
      <c r="J497" s="212"/>
    </row>
    <row r="498" spans="10:10" ht="15.75" customHeight="1" x14ac:dyDescent="0.25">
      <c r="J498" s="212"/>
    </row>
    <row r="499" spans="10:10" ht="15.75" customHeight="1" x14ac:dyDescent="0.25">
      <c r="J499" s="212"/>
    </row>
    <row r="500" spans="10:10" ht="15.75" customHeight="1" x14ac:dyDescent="0.25">
      <c r="J500" s="212"/>
    </row>
    <row r="501" spans="10:10" ht="15.75" customHeight="1" x14ac:dyDescent="0.25">
      <c r="J501" s="212"/>
    </row>
    <row r="502" spans="10:10" ht="15.75" customHeight="1" x14ac:dyDescent="0.25">
      <c r="J502" s="212"/>
    </row>
    <row r="503" spans="10:10" ht="15.75" customHeight="1" x14ac:dyDescent="0.25">
      <c r="J503" s="212"/>
    </row>
    <row r="504" spans="10:10" ht="15.75" customHeight="1" x14ac:dyDescent="0.25">
      <c r="J504" s="212"/>
    </row>
    <row r="505" spans="10:10" ht="15.75" customHeight="1" x14ac:dyDescent="0.25">
      <c r="J505" s="212"/>
    </row>
    <row r="506" spans="10:10" ht="15.75" customHeight="1" x14ac:dyDescent="0.25">
      <c r="J506" s="212"/>
    </row>
    <row r="507" spans="10:10" ht="15.75" customHeight="1" x14ac:dyDescent="0.25">
      <c r="J507" s="212"/>
    </row>
    <row r="508" spans="10:10" ht="15.75" customHeight="1" x14ac:dyDescent="0.25">
      <c r="J508" s="212"/>
    </row>
    <row r="509" spans="10:10" ht="15.75" customHeight="1" x14ac:dyDescent="0.25">
      <c r="J509" s="212"/>
    </row>
    <row r="510" spans="10:10" ht="15.75" customHeight="1" x14ac:dyDescent="0.25">
      <c r="J510" s="212"/>
    </row>
    <row r="511" spans="10:10" ht="15.75" customHeight="1" x14ac:dyDescent="0.25">
      <c r="J511" s="212"/>
    </row>
    <row r="512" spans="10:10" ht="15.75" customHeight="1" x14ac:dyDescent="0.25">
      <c r="J512" s="212"/>
    </row>
    <row r="513" spans="10:10" ht="15.75" customHeight="1" x14ac:dyDescent="0.25">
      <c r="J513" s="212"/>
    </row>
    <row r="514" spans="10:10" ht="15.75" customHeight="1" x14ac:dyDescent="0.25">
      <c r="J514" s="212"/>
    </row>
    <row r="515" spans="10:10" ht="15.75" customHeight="1" x14ac:dyDescent="0.25">
      <c r="J515" s="212"/>
    </row>
    <row r="516" spans="10:10" ht="15.75" customHeight="1" x14ac:dyDescent="0.25">
      <c r="J516" s="212"/>
    </row>
    <row r="517" spans="10:10" ht="15.75" customHeight="1" x14ac:dyDescent="0.25">
      <c r="J517" s="212"/>
    </row>
    <row r="518" spans="10:10" ht="15.75" customHeight="1" x14ac:dyDescent="0.25">
      <c r="J518" s="212"/>
    </row>
    <row r="519" spans="10:10" ht="15.75" customHeight="1" x14ac:dyDescent="0.25">
      <c r="J519" s="212"/>
    </row>
    <row r="520" spans="10:10" ht="15.75" customHeight="1" x14ac:dyDescent="0.25">
      <c r="J520" s="212"/>
    </row>
    <row r="521" spans="10:10" ht="15.75" customHeight="1" x14ac:dyDescent="0.25">
      <c r="J521" s="212"/>
    </row>
    <row r="522" spans="10:10" ht="15.75" customHeight="1" x14ac:dyDescent="0.25">
      <c r="J522" s="212"/>
    </row>
    <row r="523" spans="10:10" ht="15.75" customHeight="1" x14ac:dyDescent="0.25">
      <c r="J523" s="212"/>
    </row>
    <row r="524" spans="10:10" ht="15.75" customHeight="1" x14ac:dyDescent="0.25">
      <c r="J524" s="212"/>
    </row>
    <row r="525" spans="10:10" ht="15.75" customHeight="1" x14ac:dyDescent="0.25">
      <c r="J525" s="212"/>
    </row>
    <row r="526" spans="10:10" ht="15.75" customHeight="1" x14ac:dyDescent="0.25">
      <c r="J526" s="212"/>
    </row>
    <row r="527" spans="10:10" ht="15.75" customHeight="1" x14ac:dyDescent="0.25">
      <c r="J527" s="212"/>
    </row>
    <row r="528" spans="10:10" ht="15.75" customHeight="1" x14ac:dyDescent="0.25">
      <c r="J528" s="212"/>
    </row>
    <row r="529" spans="10:10" ht="15.75" customHeight="1" x14ac:dyDescent="0.25">
      <c r="J529" s="212"/>
    </row>
    <row r="530" spans="10:10" ht="15.75" customHeight="1" x14ac:dyDescent="0.25">
      <c r="J530" s="212"/>
    </row>
    <row r="531" spans="10:10" ht="15.75" customHeight="1" x14ac:dyDescent="0.25">
      <c r="J531" s="212"/>
    </row>
    <row r="532" spans="10:10" ht="15.75" customHeight="1" x14ac:dyDescent="0.25">
      <c r="J532" s="212"/>
    </row>
    <row r="533" spans="10:10" ht="15.75" customHeight="1" x14ac:dyDescent="0.25">
      <c r="J533" s="212"/>
    </row>
    <row r="534" spans="10:10" ht="15.75" customHeight="1" x14ac:dyDescent="0.25">
      <c r="J534" s="212"/>
    </row>
    <row r="535" spans="10:10" ht="15.75" customHeight="1" x14ac:dyDescent="0.25">
      <c r="J535" s="212"/>
    </row>
    <row r="536" spans="10:10" ht="15.75" customHeight="1" x14ac:dyDescent="0.25">
      <c r="J536" s="212"/>
    </row>
    <row r="537" spans="10:10" ht="15.75" customHeight="1" x14ac:dyDescent="0.25">
      <c r="J537" s="212"/>
    </row>
    <row r="538" spans="10:10" ht="15.75" customHeight="1" x14ac:dyDescent="0.25">
      <c r="J538" s="212"/>
    </row>
    <row r="539" spans="10:10" ht="15.75" customHeight="1" x14ac:dyDescent="0.25">
      <c r="J539" s="212"/>
    </row>
    <row r="540" spans="10:10" ht="15.75" customHeight="1" x14ac:dyDescent="0.25">
      <c r="J540" s="212"/>
    </row>
    <row r="541" spans="10:10" ht="15.75" customHeight="1" x14ac:dyDescent="0.25">
      <c r="J541" s="212"/>
    </row>
    <row r="542" spans="10:10" ht="15.75" customHeight="1" x14ac:dyDescent="0.25">
      <c r="J542" s="212"/>
    </row>
    <row r="543" spans="10:10" ht="15.75" customHeight="1" x14ac:dyDescent="0.25">
      <c r="J543" s="212"/>
    </row>
    <row r="544" spans="10:10" ht="15.75" customHeight="1" x14ac:dyDescent="0.25">
      <c r="J544" s="212"/>
    </row>
    <row r="545" spans="10:10" ht="15.75" customHeight="1" x14ac:dyDescent="0.25">
      <c r="J545" s="212"/>
    </row>
    <row r="546" spans="10:10" ht="15.75" customHeight="1" x14ac:dyDescent="0.25">
      <c r="J546" s="212"/>
    </row>
    <row r="547" spans="10:10" ht="15.75" customHeight="1" x14ac:dyDescent="0.25">
      <c r="J547" s="212"/>
    </row>
    <row r="548" spans="10:10" ht="15.75" customHeight="1" x14ac:dyDescent="0.25">
      <c r="J548" s="212"/>
    </row>
    <row r="549" spans="10:10" ht="15.75" customHeight="1" x14ac:dyDescent="0.25">
      <c r="J549" s="212"/>
    </row>
    <row r="550" spans="10:10" ht="15.75" customHeight="1" x14ac:dyDescent="0.25">
      <c r="J550" s="212"/>
    </row>
    <row r="551" spans="10:10" ht="15.75" customHeight="1" x14ac:dyDescent="0.25">
      <c r="J551" s="212"/>
    </row>
    <row r="552" spans="10:10" ht="15.75" customHeight="1" x14ac:dyDescent="0.25">
      <c r="J552" s="212"/>
    </row>
    <row r="553" spans="10:10" ht="15.75" customHeight="1" x14ac:dyDescent="0.25">
      <c r="J553" s="212"/>
    </row>
    <row r="554" spans="10:10" ht="15.75" customHeight="1" x14ac:dyDescent="0.25">
      <c r="J554" s="212"/>
    </row>
    <row r="555" spans="10:10" ht="15.75" customHeight="1" x14ac:dyDescent="0.25">
      <c r="J555" s="212"/>
    </row>
    <row r="556" spans="10:10" ht="15.75" customHeight="1" x14ac:dyDescent="0.25">
      <c r="J556" s="212"/>
    </row>
    <row r="557" spans="10:10" ht="15.75" customHeight="1" x14ac:dyDescent="0.25">
      <c r="J557" s="212"/>
    </row>
    <row r="558" spans="10:10" ht="15.75" customHeight="1" x14ac:dyDescent="0.25">
      <c r="J558" s="212"/>
    </row>
    <row r="559" spans="10:10" ht="15.75" customHeight="1" x14ac:dyDescent="0.25">
      <c r="J559" s="212"/>
    </row>
    <row r="560" spans="10:10" ht="15.75" customHeight="1" x14ac:dyDescent="0.25">
      <c r="J560" s="212"/>
    </row>
    <row r="561" spans="10:10" ht="15.75" customHeight="1" x14ac:dyDescent="0.25">
      <c r="J561" s="212"/>
    </row>
    <row r="562" spans="10:10" ht="15.75" customHeight="1" x14ac:dyDescent="0.25">
      <c r="J562" s="212"/>
    </row>
    <row r="563" spans="10:10" ht="15.75" customHeight="1" x14ac:dyDescent="0.25">
      <c r="J563" s="212"/>
    </row>
    <row r="564" spans="10:10" ht="15.75" customHeight="1" x14ac:dyDescent="0.25">
      <c r="J564" s="212"/>
    </row>
    <row r="565" spans="10:10" ht="15.75" customHeight="1" x14ac:dyDescent="0.25">
      <c r="J565" s="212"/>
    </row>
    <row r="566" spans="10:10" ht="15.75" customHeight="1" x14ac:dyDescent="0.25">
      <c r="J566" s="212"/>
    </row>
    <row r="567" spans="10:10" ht="15.75" customHeight="1" x14ac:dyDescent="0.25">
      <c r="J567" s="212"/>
    </row>
    <row r="568" spans="10:10" ht="15.75" customHeight="1" x14ac:dyDescent="0.25">
      <c r="J568" s="212"/>
    </row>
    <row r="569" spans="10:10" ht="15.75" customHeight="1" x14ac:dyDescent="0.25">
      <c r="J569" s="212"/>
    </row>
    <row r="570" spans="10:10" ht="15.75" customHeight="1" x14ac:dyDescent="0.25">
      <c r="J570" s="212"/>
    </row>
    <row r="571" spans="10:10" ht="15.75" customHeight="1" x14ac:dyDescent="0.25">
      <c r="J571" s="212"/>
    </row>
    <row r="572" spans="10:10" ht="15.75" customHeight="1" x14ac:dyDescent="0.25">
      <c r="J572" s="212"/>
    </row>
    <row r="573" spans="10:10" ht="15.75" customHeight="1" x14ac:dyDescent="0.25">
      <c r="J573" s="212"/>
    </row>
    <row r="574" spans="10:10" ht="15.75" customHeight="1" x14ac:dyDescent="0.25">
      <c r="J574" s="212"/>
    </row>
    <row r="575" spans="10:10" ht="15.75" customHeight="1" x14ac:dyDescent="0.25">
      <c r="J575" s="212"/>
    </row>
    <row r="576" spans="10:10" ht="15.75" customHeight="1" x14ac:dyDescent="0.25">
      <c r="J576" s="212"/>
    </row>
    <row r="577" spans="10:10" ht="15.75" customHeight="1" x14ac:dyDescent="0.25">
      <c r="J577" s="212"/>
    </row>
    <row r="578" spans="10:10" ht="15.75" customHeight="1" x14ac:dyDescent="0.25">
      <c r="J578" s="212"/>
    </row>
    <row r="579" spans="10:10" ht="15.75" customHeight="1" x14ac:dyDescent="0.25">
      <c r="J579" s="212"/>
    </row>
    <row r="580" spans="10:10" ht="15.75" customHeight="1" x14ac:dyDescent="0.25">
      <c r="J580" s="212"/>
    </row>
    <row r="581" spans="10:10" ht="15.75" customHeight="1" x14ac:dyDescent="0.25">
      <c r="J581" s="212"/>
    </row>
    <row r="582" spans="10:10" ht="15.75" customHeight="1" x14ac:dyDescent="0.25">
      <c r="J582" s="212"/>
    </row>
    <row r="583" spans="10:10" ht="15.75" customHeight="1" x14ac:dyDescent="0.25">
      <c r="J583" s="212"/>
    </row>
    <row r="584" spans="10:10" ht="15.75" customHeight="1" x14ac:dyDescent="0.25">
      <c r="J584" s="212"/>
    </row>
    <row r="585" spans="10:10" ht="15.75" customHeight="1" x14ac:dyDescent="0.25">
      <c r="J585" s="212"/>
    </row>
    <row r="586" spans="10:10" ht="15.75" customHeight="1" x14ac:dyDescent="0.25">
      <c r="J586" s="212"/>
    </row>
    <row r="587" spans="10:10" ht="15.75" customHeight="1" x14ac:dyDescent="0.25">
      <c r="J587" s="212"/>
    </row>
    <row r="588" spans="10:10" ht="15.75" customHeight="1" x14ac:dyDescent="0.25">
      <c r="J588" s="212"/>
    </row>
    <row r="589" spans="10:10" ht="15.75" customHeight="1" x14ac:dyDescent="0.25">
      <c r="J589" s="212"/>
    </row>
    <row r="590" spans="10:10" ht="15.75" customHeight="1" x14ac:dyDescent="0.25">
      <c r="J590" s="212"/>
    </row>
    <row r="591" spans="10:10" ht="15.75" customHeight="1" x14ac:dyDescent="0.25">
      <c r="J591" s="212"/>
    </row>
    <row r="592" spans="10:10" ht="15.75" customHeight="1" x14ac:dyDescent="0.25">
      <c r="J592" s="212"/>
    </row>
    <row r="593" spans="10:10" ht="15.75" customHeight="1" x14ac:dyDescent="0.25">
      <c r="J593" s="212"/>
    </row>
    <row r="594" spans="10:10" ht="15.75" customHeight="1" x14ac:dyDescent="0.25">
      <c r="J594" s="212"/>
    </row>
    <row r="595" spans="10:10" ht="15.75" customHeight="1" x14ac:dyDescent="0.25">
      <c r="J595" s="212"/>
    </row>
    <row r="596" spans="10:10" ht="15.75" customHeight="1" x14ac:dyDescent="0.25">
      <c r="J596" s="212"/>
    </row>
    <row r="597" spans="10:10" ht="15.75" customHeight="1" x14ac:dyDescent="0.25">
      <c r="J597" s="212"/>
    </row>
    <row r="598" spans="10:10" ht="15.75" customHeight="1" x14ac:dyDescent="0.25">
      <c r="J598" s="212"/>
    </row>
    <row r="599" spans="10:10" ht="15.75" customHeight="1" x14ac:dyDescent="0.25">
      <c r="J599" s="212"/>
    </row>
    <row r="600" spans="10:10" ht="15.75" customHeight="1" x14ac:dyDescent="0.25">
      <c r="J600" s="212"/>
    </row>
    <row r="601" spans="10:10" ht="15.75" customHeight="1" x14ac:dyDescent="0.25">
      <c r="J601" s="212"/>
    </row>
    <row r="602" spans="10:10" ht="15.75" customHeight="1" x14ac:dyDescent="0.25">
      <c r="J602" s="212"/>
    </row>
    <row r="603" spans="10:10" ht="15.75" customHeight="1" x14ac:dyDescent="0.25">
      <c r="J603" s="212"/>
    </row>
    <row r="604" spans="10:10" ht="15.75" customHeight="1" x14ac:dyDescent="0.25">
      <c r="J604" s="212"/>
    </row>
    <row r="605" spans="10:10" ht="15.75" customHeight="1" x14ac:dyDescent="0.25">
      <c r="J605" s="212"/>
    </row>
    <row r="606" spans="10:10" ht="15.75" customHeight="1" x14ac:dyDescent="0.25">
      <c r="J606" s="212"/>
    </row>
    <row r="607" spans="10:10" ht="15.75" customHeight="1" x14ac:dyDescent="0.25">
      <c r="J607" s="212"/>
    </row>
    <row r="608" spans="10:10" ht="15.75" customHeight="1" x14ac:dyDescent="0.25">
      <c r="J608" s="212"/>
    </row>
    <row r="609" spans="10:10" ht="15.75" customHeight="1" x14ac:dyDescent="0.25">
      <c r="J609" s="212"/>
    </row>
    <row r="610" spans="10:10" ht="15.75" customHeight="1" x14ac:dyDescent="0.25">
      <c r="J610" s="212"/>
    </row>
    <row r="611" spans="10:10" ht="15.75" customHeight="1" x14ac:dyDescent="0.25">
      <c r="J611" s="212"/>
    </row>
    <row r="612" spans="10:10" ht="15.75" customHeight="1" x14ac:dyDescent="0.25">
      <c r="J612" s="212"/>
    </row>
    <row r="613" spans="10:10" ht="15.75" customHeight="1" x14ac:dyDescent="0.25">
      <c r="J613" s="212"/>
    </row>
    <row r="614" spans="10:10" ht="15.75" customHeight="1" x14ac:dyDescent="0.25">
      <c r="J614" s="212"/>
    </row>
    <row r="615" spans="10:10" ht="15.75" customHeight="1" x14ac:dyDescent="0.25">
      <c r="J615" s="212"/>
    </row>
    <row r="616" spans="10:10" ht="15.75" customHeight="1" x14ac:dyDescent="0.25">
      <c r="J616" s="212"/>
    </row>
    <row r="617" spans="10:10" ht="15.75" customHeight="1" x14ac:dyDescent="0.25">
      <c r="J617" s="212"/>
    </row>
    <row r="618" spans="10:10" ht="15.75" customHeight="1" x14ac:dyDescent="0.25">
      <c r="J618" s="212"/>
    </row>
    <row r="619" spans="10:10" ht="15.75" customHeight="1" x14ac:dyDescent="0.25">
      <c r="J619" s="212"/>
    </row>
    <row r="620" spans="10:10" ht="15.75" customHeight="1" x14ac:dyDescent="0.25">
      <c r="J620" s="212"/>
    </row>
    <row r="621" spans="10:10" ht="15.75" customHeight="1" x14ac:dyDescent="0.25">
      <c r="J621" s="212"/>
    </row>
    <row r="622" spans="10:10" ht="15.75" customHeight="1" x14ac:dyDescent="0.25">
      <c r="J622" s="212"/>
    </row>
    <row r="623" spans="10:10" ht="15.75" customHeight="1" x14ac:dyDescent="0.25">
      <c r="J623" s="212"/>
    </row>
    <row r="624" spans="10:10" ht="15.75" customHeight="1" x14ac:dyDescent="0.25">
      <c r="J624" s="212"/>
    </row>
    <row r="625" spans="10:10" ht="15.75" customHeight="1" x14ac:dyDescent="0.25">
      <c r="J625" s="212"/>
    </row>
    <row r="626" spans="10:10" ht="15.75" customHeight="1" x14ac:dyDescent="0.25">
      <c r="J626" s="212"/>
    </row>
    <row r="627" spans="10:10" ht="15.75" customHeight="1" x14ac:dyDescent="0.25">
      <c r="J627" s="212"/>
    </row>
    <row r="628" spans="10:10" ht="15.75" customHeight="1" x14ac:dyDescent="0.25">
      <c r="J628" s="212"/>
    </row>
    <row r="629" spans="10:10" ht="15.75" customHeight="1" x14ac:dyDescent="0.25">
      <c r="J629" s="212"/>
    </row>
    <row r="630" spans="10:10" ht="15.75" customHeight="1" x14ac:dyDescent="0.25">
      <c r="J630" s="212"/>
    </row>
    <row r="631" spans="10:10" ht="15.75" customHeight="1" x14ac:dyDescent="0.25">
      <c r="J631" s="212"/>
    </row>
    <row r="632" spans="10:10" ht="15.75" customHeight="1" x14ac:dyDescent="0.25">
      <c r="J632" s="212"/>
    </row>
    <row r="633" spans="10:10" ht="15.75" customHeight="1" x14ac:dyDescent="0.25">
      <c r="J633" s="212"/>
    </row>
    <row r="634" spans="10:10" ht="15.75" customHeight="1" x14ac:dyDescent="0.25">
      <c r="J634" s="212"/>
    </row>
    <row r="635" spans="10:10" ht="15.75" customHeight="1" x14ac:dyDescent="0.25">
      <c r="J635" s="212"/>
    </row>
    <row r="636" spans="10:10" ht="15.75" customHeight="1" x14ac:dyDescent="0.25">
      <c r="J636" s="212"/>
    </row>
    <row r="637" spans="10:10" ht="15.75" customHeight="1" x14ac:dyDescent="0.25">
      <c r="J637" s="212"/>
    </row>
    <row r="638" spans="10:10" ht="15.75" customHeight="1" x14ac:dyDescent="0.25">
      <c r="J638" s="212"/>
    </row>
    <row r="639" spans="10:10" ht="15.75" customHeight="1" x14ac:dyDescent="0.25">
      <c r="J639" s="212"/>
    </row>
    <row r="640" spans="10:10" ht="15.75" customHeight="1" x14ac:dyDescent="0.25">
      <c r="J640" s="212"/>
    </row>
    <row r="641" spans="10:10" ht="15.75" customHeight="1" x14ac:dyDescent="0.25">
      <c r="J641" s="212"/>
    </row>
    <row r="642" spans="10:10" ht="15.75" customHeight="1" x14ac:dyDescent="0.25">
      <c r="J642" s="212"/>
    </row>
    <row r="643" spans="10:10" ht="15.75" customHeight="1" x14ac:dyDescent="0.25">
      <c r="J643" s="212"/>
    </row>
    <row r="644" spans="10:10" ht="15.75" customHeight="1" x14ac:dyDescent="0.25">
      <c r="J644" s="212"/>
    </row>
    <row r="645" spans="10:10" ht="15.75" customHeight="1" x14ac:dyDescent="0.25">
      <c r="J645" s="212"/>
    </row>
    <row r="646" spans="10:10" ht="15.75" customHeight="1" x14ac:dyDescent="0.25">
      <c r="J646" s="212"/>
    </row>
    <row r="647" spans="10:10" ht="15.75" customHeight="1" x14ac:dyDescent="0.25">
      <c r="J647" s="212"/>
    </row>
    <row r="648" spans="10:10" ht="15.75" customHeight="1" x14ac:dyDescent="0.25">
      <c r="J648" s="212"/>
    </row>
    <row r="649" spans="10:10" ht="15.75" customHeight="1" x14ac:dyDescent="0.25">
      <c r="J649" s="212"/>
    </row>
    <row r="650" spans="10:10" ht="15.75" customHeight="1" x14ac:dyDescent="0.25">
      <c r="J650" s="212"/>
    </row>
    <row r="651" spans="10:10" ht="15.75" customHeight="1" x14ac:dyDescent="0.25">
      <c r="J651" s="212"/>
    </row>
    <row r="652" spans="10:10" ht="15.75" customHeight="1" x14ac:dyDescent="0.25">
      <c r="J652" s="212"/>
    </row>
    <row r="653" spans="10:10" ht="15.75" customHeight="1" x14ac:dyDescent="0.25">
      <c r="J653" s="212"/>
    </row>
    <row r="654" spans="10:10" ht="15.75" customHeight="1" x14ac:dyDescent="0.25">
      <c r="J654" s="212"/>
    </row>
    <row r="655" spans="10:10" ht="15.75" customHeight="1" x14ac:dyDescent="0.25">
      <c r="J655" s="212"/>
    </row>
    <row r="656" spans="10:10" ht="15.75" customHeight="1" x14ac:dyDescent="0.25">
      <c r="J656" s="212"/>
    </row>
    <row r="657" spans="10:10" ht="15.75" customHeight="1" x14ac:dyDescent="0.25">
      <c r="J657" s="212"/>
    </row>
    <row r="658" spans="10:10" ht="15.75" customHeight="1" x14ac:dyDescent="0.25">
      <c r="J658" s="212"/>
    </row>
    <row r="659" spans="10:10" ht="15.75" customHeight="1" x14ac:dyDescent="0.25">
      <c r="J659" s="212"/>
    </row>
    <row r="660" spans="10:10" ht="15.75" customHeight="1" x14ac:dyDescent="0.25">
      <c r="J660" s="212"/>
    </row>
    <row r="661" spans="10:10" ht="15.75" customHeight="1" x14ac:dyDescent="0.25">
      <c r="J661" s="212"/>
    </row>
    <row r="662" spans="10:10" ht="15.75" customHeight="1" x14ac:dyDescent="0.25">
      <c r="J662" s="212"/>
    </row>
    <row r="663" spans="10:10" ht="15.75" customHeight="1" x14ac:dyDescent="0.25">
      <c r="J663" s="212"/>
    </row>
    <row r="664" spans="10:10" ht="15.75" customHeight="1" x14ac:dyDescent="0.25">
      <c r="J664" s="212"/>
    </row>
    <row r="665" spans="10:10" ht="15.75" customHeight="1" x14ac:dyDescent="0.25">
      <c r="J665" s="212"/>
    </row>
    <row r="666" spans="10:10" ht="15.75" customHeight="1" x14ac:dyDescent="0.25">
      <c r="J666" s="212"/>
    </row>
    <row r="667" spans="10:10" ht="15.75" customHeight="1" x14ac:dyDescent="0.25">
      <c r="J667" s="212"/>
    </row>
    <row r="668" spans="10:10" ht="15.75" customHeight="1" x14ac:dyDescent="0.25">
      <c r="J668" s="212"/>
    </row>
    <row r="669" spans="10:10" ht="15.75" customHeight="1" x14ac:dyDescent="0.25">
      <c r="J669" s="212"/>
    </row>
    <row r="670" spans="10:10" ht="15.75" customHeight="1" x14ac:dyDescent="0.25">
      <c r="J670" s="212"/>
    </row>
    <row r="671" spans="10:10" ht="15.75" customHeight="1" x14ac:dyDescent="0.25">
      <c r="J671" s="212"/>
    </row>
    <row r="672" spans="10:10" ht="15.75" customHeight="1" x14ac:dyDescent="0.25">
      <c r="J672" s="212"/>
    </row>
    <row r="673" spans="10:10" ht="15.75" customHeight="1" x14ac:dyDescent="0.25">
      <c r="J673" s="212"/>
    </row>
    <row r="674" spans="10:10" ht="15.75" customHeight="1" x14ac:dyDescent="0.25">
      <c r="J674" s="212"/>
    </row>
    <row r="675" spans="10:10" ht="15.75" customHeight="1" x14ac:dyDescent="0.25">
      <c r="J675" s="212"/>
    </row>
    <row r="676" spans="10:10" ht="15.75" customHeight="1" x14ac:dyDescent="0.25">
      <c r="J676" s="212"/>
    </row>
    <row r="677" spans="10:10" ht="15.75" customHeight="1" x14ac:dyDescent="0.25">
      <c r="J677" s="212"/>
    </row>
    <row r="678" spans="10:10" ht="15.75" customHeight="1" x14ac:dyDescent="0.25">
      <c r="J678" s="212"/>
    </row>
    <row r="679" spans="10:10" ht="15.75" customHeight="1" x14ac:dyDescent="0.25">
      <c r="J679" s="212"/>
    </row>
    <row r="680" spans="10:10" ht="15.75" customHeight="1" x14ac:dyDescent="0.25">
      <c r="J680" s="212"/>
    </row>
    <row r="681" spans="10:10" ht="15.75" customHeight="1" x14ac:dyDescent="0.25">
      <c r="J681" s="212"/>
    </row>
    <row r="682" spans="10:10" ht="15.75" customHeight="1" x14ac:dyDescent="0.25">
      <c r="J682" s="212"/>
    </row>
    <row r="683" spans="10:10" ht="15.75" customHeight="1" x14ac:dyDescent="0.25">
      <c r="J683" s="212"/>
    </row>
    <row r="684" spans="10:10" ht="15.75" customHeight="1" x14ac:dyDescent="0.25">
      <c r="J684" s="212"/>
    </row>
    <row r="685" spans="10:10" ht="15.75" customHeight="1" x14ac:dyDescent="0.25">
      <c r="J685" s="212"/>
    </row>
    <row r="686" spans="10:10" ht="15.75" customHeight="1" x14ac:dyDescent="0.25">
      <c r="J686" s="212"/>
    </row>
    <row r="687" spans="10:10" ht="15.75" customHeight="1" x14ac:dyDescent="0.25">
      <c r="J687" s="212"/>
    </row>
    <row r="688" spans="10:10" ht="15.75" customHeight="1" x14ac:dyDescent="0.25">
      <c r="J688" s="212"/>
    </row>
    <row r="689" spans="10:10" ht="15.75" customHeight="1" x14ac:dyDescent="0.25">
      <c r="J689" s="212"/>
    </row>
    <row r="690" spans="10:10" ht="15.75" customHeight="1" x14ac:dyDescent="0.25">
      <c r="J690" s="212"/>
    </row>
    <row r="691" spans="10:10" ht="15.75" customHeight="1" x14ac:dyDescent="0.25">
      <c r="J691" s="212"/>
    </row>
    <row r="692" spans="10:10" ht="15.75" customHeight="1" x14ac:dyDescent="0.25">
      <c r="J692" s="212"/>
    </row>
    <row r="693" spans="10:10" ht="15.75" customHeight="1" x14ac:dyDescent="0.25">
      <c r="J693" s="212"/>
    </row>
    <row r="694" spans="10:10" ht="15.75" customHeight="1" x14ac:dyDescent="0.25">
      <c r="J694" s="212"/>
    </row>
    <row r="695" spans="10:10" ht="15.75" customHeight="1" x14ac:dyDescent="0.25">
      <c r="J695" s="212"/>
    </row>
    <row r="696" spans="10:10" ht="15.75" customHeight="1" x14ac:dyDescent="0.25">
      <c r="J696" s="212"/>
    </row>
    <row r="697" spans="10:10" ht="15.75" customHeight="1" x14ac:dyDescent="0.25">
      <c r="J697" s="212"/>
    </row>
    <row r="698" spans="10:10" ht="15.75" customHeight="1" x14ac:dyDescent="0.25">
      <c r="J698" s="212"/>
    </row>
    <row r="699" spans="10:10" ht="15.75" customHeight="1" x14ac:dyDescent="0.25">
      <c r="J699" s="212"/>
    </row>
    <row r="700" spans="10:10" ht="15.75" customHeight="1" x14ac:dyDescent="0.25">
      <c r="J700" s="212"/>
    </row>
    <row r="701" spans="10:10" ht="15.75" customHeight="1" x14ac:dyDescent="0.25">
      <c r="J701" s="212"/>
    </row>
    <row r="702" spans="10:10" ht="15.75" customHeight="1" x14ac:dyDescent="0.25">
      <c r="J702" s="212"/>
    </row>
    <row r="703" spans="10:10" ht="15.75" customHeight="1" x14ac:dyDescent="0.25">
      <c r="J703" s="212"/>
    </row>
    <row r="704" spans="10:10" ht="15.75" customHeight="1" x14ac:dyDescent="0.25">
      <c r="J704" s="212"/>
    </row>
    <row r="705" spans="10:10" ht="15.75" customHeight="1" x14ac:dyDescent="0.25">
      <c r="J705" s="212"/>
    </row>
    <row r="706" spans="10:10" ht="15.75" customHeight="1" x14ac:dyDescent="0.25">
      <c r="J706" s="212"/>
    </row>
    <row r="707" spans="10:10" ht="15.75" customHeight="1" x14ac:dyDescent="0.25">
      <c r="J707" s="212"/>
    </row>
    <row r="708" spans="10:10" ht="15.75" customHeight="1" x14ac:dyDescent="0.25">
      <c r="J708" s="212"/>
    </row>
    <row r="709" spans="10:10" ht="15.75" customHeight="1" x14ac:dyDescent="0.25">
      <c r="J709" s="212"/>
    </row>
    <row r="710" spans="10:10" ht="15.75" customHeight="1" x14ac:dyDescent="0.25">
      <c r="J710" s="212"/>
    </row>
    <row r="711" spans="10:10" ht="15.75" customHeight="1" x14ac:dyDescent="0.25">
      <c r="J711" s="212"/>
    </row>
    <row r="712" spans="10:10" ht="15.75" customHeight="1" x14ac:dyDescent="0.25">
      <c r="J712" s="212"/>
    </row>
    <row r="713" spans="10:10" ht="15.75" customHeight="1" x14ac:dyDescent="0.25">
      <c r="J713" s="212"/>
    </row>
    <row r="714" spans="10:10" ht="15.75" customHeight="1" x14ac:dyDescent="0.25">
      <c r="J714" s="212"/>
    </row>
    <row r="715" spans="10:10" ht="15.75" customHeight="1" x14ac:dyDescent="0.25">
      <c r="J715" s="212"/>
    </row>
    <row r="716" spans="10:10" ht="15.75" customHeight="1" x14ac:dyDescent="0.25">
      <c r="J716" s="212"/>
    </row>
    <row r="717" spans="10:10" ht="15.75" customHeight="1" x14ac:dyDescent="0.25">
      <c r="J717" s="212"/>
    </row>
    <row r="718" spans="10:10" ht="15.75" customHeight="1" x14ac:dyDescent="0.25">
      <c r="J718" s="212"/>
    </row>
    <row r="719" spans="10:10" ht="15.75" customHeight="1" x14ac:dyDescent="0.25">
      <c r="J719" s="212"/>
    </row>
    <row r="720" spans="10:10" ht="15.75" customHeight="1" x14ac:dyDescent="0.25">
      <c r="J720" s="212"/>
    </row>
    <row r="721" spans="10:10" ht="15.75" customHeight="1" x14ac:dyDescent="0.25">
      <c r="J721" s="212"/>
    </row>
    <row r="722" spans="10:10" ht="15.75" customHeight="1" x14ac:dyDescent="0.25">
      <c r="J722" s="212"/>
    </row>
    <row r="723" spans="10:10" ht="15.75" customHeight="1" x14ac:dyDescent="0.25">
      <c r="J723" s="212"/>
    </row>
    <row r="724" spans="10:10" ht="15.75" customHeight="1" x14ac:dyDescent="0.25">
      <c r="J724" s="212"/>
    </row>
    <row r="725" spans="10:10" ht="15.75" customHeight="1" x14ac:dyDescent="0.25">
      <c r="J725" s="212"/>
    </row>
    <row r="726" spans="10:10" ht="15.75" customHeight="1" x14ac:dyDescent="0.25">
      <c r="J726" s="212"/>
    </row>
    <row r="727" spans="10:10" ht="15.75" customHeight="1" x14ac:dyDescent="0.25">
      <c r="J727" s="212"/>
    </row>
    <row r="728" spans="10:10" ht="15.75" customHeight="1" x14ac:dyDescent="0.25">
      <c r="J728" s="212"/>
    </row>
    <row r="729" spans="10:10" ht="15.75" customHeight="1" x14ac:dyDescent="0.25">
      <c r="J729" s="212"/>
    </row>
    <row r="730" spans="10:10" ht="15.75" customHeight="1" x14ac:dyDescent="0.25">
      <c r="J730" s="212"/>
    </row>
    <row r="731" spans="10:10" ht="15.75" customHeight="1" x14ac:dyDescent="0.25">
      <c r="J731" s="212"/>
    </row>
    <row r="732" spans="10:10" ht="15.75" customHeight="1" x14ac:dyDescent="0.25">
      <c r="J732" s="212"/>
    </row>
    <row r="733" spans="10:10" ht="15.75" customHeight="1" x14ac:dyDescent="0.25">
      <c r="J733" s="212"/>
    </row>
    <row r="734" spans="10:10" ht="15.75" customHeight="1" x14ac:dyDescent="0.25">
      <c r="J734" s="212"/>
    </row>
    <row r="735" spans="10:10" ht="15.75" customHeight="1" x14ac:dyDescent="0.25">
      <c r="J735" s="212"/>
    </row>
    <row r="736" spans="10:10" ht="15.75" customHeight="1" x14ac:dyDescent="0.25">
      <c r="J736" s="212"/>
    </row>
    <row r="737" spans="10:10" ht="15.75" customHeight="1" x14ac:dyDescent="0.25">
      <c r="J737" s="212"/>
    </row>
    <row r="738" spans="10:10" ht="15.75" customHeight="1" x14ac:dyDescent="0.25">
      <c r="J738" s="212"/>
    </row>
    <row r="739" spans="10:10" ht="15.75" customHeight="1" x14ac:dyDescent="0.25">
      <c r="J739" s="212"/>
    </row>
    <row r="740" spans="10:10" ht="15.75" customHeight="1" x14ac:dyDescent="0.25">
      <c r="J740" s="212"/>
    </row>
    <row r="741" spans="10:10" ht="15.75" customHeight="1" x14ac:dyDescent="0.25">
      <c r="J741" s="212"/>
    </row>
    <row r="742" spans="10:10" ht="15.75" customHeight="1" x14ac:dyDescent="0.25">
      <c r="J742" s="212"/>
    </row>
    <row r="743" spans="10:10" ht="15.75" customHeight="1" x14ac:dyDescent="0.25">
      <c r="J743" s="212"/>
    </row>
    <row r="744" spans="10:10" ht="15.75" customHeight="1" x14ac:dyDescent="0.25">
      <c r="J744" s="212"/>
    </row>
    <row r="745" spans="10:10" ht="15.75" customHeight="1" x14ac:dyDescent="0.25">
      <c r="J745" s="212"/>
    </row>
    <row r="746" spans="10:10" ht="15.75" customHeight="1" x14ac:dyDescent="0.25">
      <c r="J746" s="212"/>
    </row>
    <row r="747" spans="10:10" ht="15.75" customHeight="1" x14ac:dyDescent="0.25">
      <c r="J747" s="212"/>
    </row>
    <row r="748" spans="10:10" ht="15.75" customHeight="1" x14ac:dyDescent="0.25">
      <c r="J748" s="212"/>
    </row>
    <row r="749" spans="10:10" ht="15.75" customHeight="1" x14ac:dyDescent="0.25">
      <c r="J749" s="212"/>
    </row>
    <row r="750" spans="10:10" ht="15.75" customHeight="1" x14ac:dyDescent="0.25">
      <c r="J750" s="212"/>
    </row>
    <row r="751" spans="10:10" ht="15.75" customHeight="1" x14ac:dyDescent="0.25">
      <c r="J751" s="212"/>
    </row>
    <row r="752" spans="10:10" ht="15.75" customHeight="1" x14ac:dyDescent="0.25">
      <c r="J752" s="212"/>
    </row>
    <row r="753" spans="10:10" ht="15.75" customHeight="1" x14ac:dyDescent="0.25">
      <c r="J753" s="212"/>
    </row>
    <row r="754" spans="10:10" ht="15.75" customHeight="1" x14ac:dyDescent="0.25">
      <c r="J754" s="212"/>
    </row>
    <row r="755" spans="10:10" ht="15.75" customHeight="1" x14ac:dyDescent="0.25">
      <c r="J755" s="212"/>
    </row>
    <row r="756" spans="10:10" ht="15.75" customHeight="1" x14ac:dyDescent="0.25">
      <c r="J756" s="212"/>
    </row>
    <row r="757" spans="10:10" ht="15.75" customHeight="1" x14ac:dyDescent="0.25">
      <c r="J757" s="212"/>
    </row>
    <row r="758" spans="10:10" ht="15.75" customHeight="1" x14ac:dyDescent="0.25">
      <c r="J758" s="212"/>
    </row>
    <row r="759" spans="10:10" ht="15.75" customHeight="1" x14ac:dyDescent="0.25">
      <c r="J759" s="212"/>
    </row>
    <row r="760" spans="10:10" ht="15.75" customHeight="1" x14ac:dyDescent="0.25">
      <c r="J760" s="212"/>
    </row>
    <row r="761" spans="10:10" ht="15.75" customHeight="1" x14ac:dyDescent="0.25">
      <c r="J761" s="212"/>
    </row>
    <row r="762" spans="10:10" ht="15.75" customHeight="1" x14ac:dyDescent="0.25">
      <c r="J762" s="212"/>
    </row>
    <row r="763" spans="10:10" ht="15.75" customHeight="1" x14ac:dyDescent="0.25">
      <c r="J763" s="212"/>
    </row>
    <row r="764" spans="10:10" ht="15.75" customHeight="1" x14ac:dyDescent="0.25">
      <c r="J764" s="212"/>
    </row>
    <row r="765" spans="10:10" ht="15.75" customHeight="1" x14ac:dyDescent="0.25">
      <c r="J765" s="212"/>
    </row>
    <row r="766" spans="10:10" ht="15.75" customHeight="1" x14ac:dyDescent="0.25">
      <c r="J766" s="212"/>
    </row>
    <row r="767" spans="10:10" ht="15.75" customHeight="1" x14ac:dyDescent="0.25">
      <c r="J767" s="212"/>
    </row>
    <row r="768" spans="10:10" ht="15.75" customHeight="1" x14ac:dyDescent="0.25">
      <c r="J768" s="212"/>
    </row>
    <row r="769" spans="10:10" ht="15.75" customHeight="1" x14ac:dyDescent="0.25">
      <c r="J769" s="212"/>
    </row>
    <row r="770" spans="10:10" ht="15.75" customHeight="1" x14ac:dyDescent="0.25">
      <c r="J770" s="212"/>
    </row>
    <row r="771" spans="10:10" ht="15.75" customHeight="1" x14ac:dyDescent="0.25">
      <c r="J771" s="212"/>
    </row>
    <row r="772" spans="10:10" ht="15.75" customHeight="1" x14ac:dyDescent="0.25">
      <c r="J772" s="212"/>
    </row>
    <row r="773" spans="10:10" ht="15.75" customHeight="1" x14ac:dyDescent="0.25">
      <c r="J773" s="212"/>
    </row>
    <row r="774" spans="10:10" ht="15.75" customHeight="1" x14ac:dyDescent="0.25">
      <c r="J774" s="212"/>
    </row>
    <row r="775" spans="10:10" ht="15.75" customHeight="1" x14ac:dyDescent="0.25">
      <c r="J775" s="212"/>
    </row>
    <row r="776" spans="10:10" ht="15.75" customHeight="1" x14ac:dyDescent="0.25">
      <c r="J776" s="212"/>
    </row>
    <row r="777" spans="10:10" ht="15.75" customHeight="1" x14ac:dyDescent="0.25">
      <c r="J777" s="212"/>
    </row>
    <row r="778" spans="10:10" ht="15.75" customHeight="1" x14ac:dyDescent="0.25">
      <c r="J778" s="212"/>
    </row>
    <row r="779" spans="10:10" ht="15.75" customHeight="1" x14ac:dyDescent="0.25">
      <c r="J779" s="212"/>
    </row>
    <row r="780" spans="10:10" ht="15.75" customHeight="1" x14ac:dyDescent="0.25">
      <c r="J780" s="212"/>
    </row>
    <row r="781" spans="10:10" ht="15.75" customHeight="1" x14ac:dyDescent="0.25">
      <c r="J781" s="212"/>
    </row>
    <row r="782" spans="10:10" ht="15.75" customHeight="1" x14ac:dyDescent="0.25">
      <c r="J782" s="212"/>
    </row>
    <row r="783" spans="10:10" ht="15.75" customHeight="1" x14ac:dyDescent="0.25">
      <c r="J783" s="212"/>
    </row>
    <row r="784" spans="10:10" ht="15.75" customHeight="1" x14ac:dyDescent="0.25">
      <c r="J784" s="212"/>
    </row>
    <row r="785" spans="10:10" ht="15.75" customHeight="1" x14ac:dyDescent="0.25">
      <c r="J785" s="212"/>
    </row>
    <row r="786" spans="10:10" ht="15.75" customHeight="1" x14ac:dyDescent="0.25">
      <c r="J786" s="212"/>
    </row>
    <row r="787" spans="10:10" ht="15.75" customHeight="1" x14ac:dyDescent="0.25">
      <c r="J787" s="212"/>
    </row>
    <row r="788" spans="10:10" ht="15.75" customHeight="1" x14ac:dyDescent="0.25">
      <c r="J788" s="212"/>
    </row>
    <row r="789" spans="10:10" ht="15.75" customHeight="1" x14ac:dyDescent="0.25">
      <c r="J789" s="212"/>
    </row>
    <row r="790" spans="10:10" ht="15.75" customHeight="1" x14ac:dyDescent="0.25">
      <c r="J790" s="212"/>
    </row>
    <row r="791" spans="10:10" ht="15.75" customHeight="1" x14ac:dyDescent="0.25">
      <c r="J791" s="212"/>
    </row>
    <row r="792" spans="10:10" ht="15.75" customHeight="1" x14ac:dyDescent="0.25">
      <c r="J792" s="212"/>
    </row>
    <row r="793" spans="10:10" ht="15.75" customHeight="1" x14ac:dyDescent="0.25">
      <c r="J793" s="212"/>
    </row>
    <row r="794" spans="10:10" ht="15.75" customHeight="1" x14ac:dyDescent="0.25">
      <c r="J794" s="212"/>
    </row>
    <row r="795" spans="10:10" ht="15.75" customHeight="1" x14ac:dyDescent="0.25">
      <c r="J795" s="212"/>
    </row>
    <row r="796" spans="10:10" ht="15.75" customHeight="1" x14ac:dyDescent="0.25">
      <c r="J796" s="212"/>
    </row>
    <row r="797" spans="10:10" ht="15.75" customHeight="1" x14ac:dyDescent="0.25">
      <c r="J797" s="212"/>
    </row>
    <row r="798" spans="10:10" ht="15.75" customHeight="1" x14ac:dyDescent="0.25">
      <c r="J798" s="212"/>
    </row>
    <row r="799" spans="10:10" ht="15.75" customHeight="1" x14ac:dyDescent="0.25">
      <c r="J799" s="212"/>
    </row>
    <row r="800" spans="10:10" ht="15.75" customHeight="1" x14ac:dyDescent="0.25">
      <c r="J800" s="212"/>
    </row>
    <row r="801" spans="10:10" ht="15.75" customHeight="1" x14ac:dyDescent="0.25">
      <c r="J801" s="212"/>
    </row>
    <row r="802" spans="10:10" ht="15.75" customHeight="1" x14ac:dyDescent="0.25">
      <c r="J802" s="212"/>
    </row>
    <row r="803" spans="10:10" ht="15.75" customHeight="1" x14ac:dyDescent="0.25">
      <c r="J803" s="212"/>
    </row>
    <row r="804" spans="10:10" ht="15.75" customHeight="1" x14ac:dyDescent="0.25">
      <c r="J804" s="212"/>
    </row>
    <row r="805" spans="10:10" ht="15.75" customHeight="1" x14ac:dyDescent="0.25">
      <c r="J805" s="212"/>
    </row>
    <row r="806" spans="10:10" ht="15.75" customHeight="1" x14ac:dyDescent="0.25">
      <c r="J806" s="212"/>
    </row>
    <row r="807" spans="10:10" ht="15.75" customHeight="1" x14ac:dyDescent="0.25">
      <c r="J807" s="212"/>
    </row>
    <row r="808" spans="10:10" ht="15.75" customHeight="1" x14ac:dyDescent="0.25">
      <c r="J808" s="212"/>
    </row>
    <row r="809" spans="10:10" ht="15.75" customHeight="1" x14ac:dyDescent="0.25">
      <c r="J809" s="212"/>
    </row>
    <row r="810" spans="10:10" ht="15.75" customHeight="1" x14ac:dyDescent="0.25">
      <c r="J810" s="212"/>
    </row>
    <row r="811" spans="10:10" ht="15.75" customHeight="1" x14ac:dyDescent="0.25">
      <c r="J811" s="212"/>
    </row>
    <row r="812" spans="10:10" ht="15.75" customHeight="1" x14ac:dyDescent="0.25">
      <c r="J812" s="212"/>
    </row>
    <row r="813" spans="10:10" ht="15.75" customHeight="1" x14ac:dyDescent="0.25">
      <c r="J813" s="212"/>
    </row>
    <row r="814" spans="10:10" ht="15.75" customHeight="1" x14ac:dyDescent="0.25">
      <c r="J814" s="212"/>
    </row>
    <row r="815" spans="10:10" ht="15.75" customHeight="1" x14ac:dyDescent="0.25">
      <c r="J815" s="212"/>
    </row>
    <row r="816" spans="10:10" ht="15.75" customHeight="1" x14ac:dyDescent="0.25">
      <c r="J816" s="212"/>
    </row>
    <row r="817" spans="10:10" ht="15.75" customHeight="1" x14ac:dyDescent="0.25">
      <c r="J817" s="212"/>
    </row>
    <row r="818" spans="10:10" ht="15.75" customHeight="1" x14ac:dyDescent="0.25">
      <c r="J818" s="212"/>
    </row>
    <row r="819" spans="10:10" ht="15.75" customHeight="1" x14ac:dyDescent="0.25">
      <c r="J819" s="212"/>
    </row>
    <row r="820" spans="10:10" ht="15.75" customHeight="1" x14ac:dyDescent="0.25">
      <c r="J820" s="212"/>
    </row>
    <row r="821" spans="10:10" ht="15.75" customHeight="1" x14ac:dyDescent="0.25">
      <c r="J821" s="212"/>
    </row>
    <row r="822" spans="10:10" ht="15.75" customHeight="1" x14ac:dyDescent="0.25">
      <c r="J822" s="212"/>
    </row>
    <row r="823" spans="10:10" ht="15.75" customHeight="1" x14ac:dyDescent="0.25">
      <c r="J823" s="212"/>
    </row>
    <row r="824" spans="10:10" ht="15.75" customHeight="1" x14ac:dyDescent="0.25">
      <c r="J824" s="212"/>
    </row>
    <row r="825" spans="10:10" ht="15.75" customHeight="1" x14ac:dyDescent="0.25">
      <c r="J825" s="212"/>
    </row>
    <row r="826" spans="10:10" ht="15.75" customHeight="1" x14ac:dyDescent="0.25">
      <c r="J826" s="212"/>
    </row>
    <row r="827" spans="10:10" ht="15.75" customHeight="1" x14ac:dyDescent="0.25">
      <c r="J827" s="212"/>
    </row>
    <row r="828" spans="10:10" ht="15.75" customHeight="1" x14ac:dyDescent="0.25">
      <c r="J828" s="212"/>
    </row>
    <row r="829" spans="10:10" ht="15.75" customHeight="1" x14ac:dyDescent="0.25">
      <c r="J829" s="212"/>
    </row>
    <row r="830" spans="10:10" ht="15.75" customHeight="1" x14ac:dyDescent="0.25">
      <c r="J830" s="212"/>
    </row>
    <row r="831" spans="10:10" ht="15.75" customHeight="1" x14ac:dyDescent="0.25">
      <c r="J831" s="212"/>
    </row>
    <row r="832" spans="10:10" ht="15.75" customHeight="1" x14ac:dyDescent="0.25">
      <c r="J832" s="212"/>
    </row>
    <row r="833" spans="10:10" ht="15.75" customHeight="1" x14ac:dyDescent="0.25">
      <c r="J833" s="212"/>
    </row>
    <row r="834" spans="10:10" ht="15.75" customHeight="1" x14ac:dyDescent="0.25">
      <c r="J834" s="212"/>
    </row>
    <row r="835" spans="10:10" ht="15.75" customHeight="1" x14ac:dyDescent="0.25">
      <c r="J835" s="212"/>
    </row>
    <row r="836" spans="10:10" ht="15.75" customHeight="1" x14ac:dyDescent="0.25">
      <c r="J836" s="212"/>
    </row>
    <row r="837" spans="10:10" ht="15.75" customHeight="1" x14ac:dyDescent="0.25">
      <c r="J837" s="212"/>
    </row>
    <row r="838" spans="10:10" ht="15.75" customHeight="1" x14ac:dyDescent="0.25">
      <c r="J838" s="212"/>
    </row>
    <row r="839" spans="10:10" ht="15.75" customHeight="1" x14ac:dyDescent="0.25">
      <c r="J839" s="212"/>
    </row>
    <row r="840" spans="10:10" ht="15.75" customHeight="1" x14ac:dyDescent="0.25">
      <c r="J840" s="212"/>
    </row>
    <row r="841" spans="10:10" ht="15.75" customHeight="1" x14ac:dyDescent="0.25">
      <c r="J841" s="212"/>
    </row>
    <row r="842" spans="10:10" ht="15.75" customHeight="1" x14ac:dyDescent="0.25">
      <c r="J842" s="212"/>
    </row>
    <row r="843" spans="10:10" ht="15.75" customHeight="1" x14ac:dyDescent="0.25">
      <c r="J843" s="212"/>
    </row>
    <row r="844" spans="10:10" ht="15.75" customHeight="1" x14ac:dyDescent="0.25">
      <c r="J844" s="212"/>
    </row>
    <row r="845" spans="10:10" ht="15.75" customHeight="1" x14ac:dyDescent="0.25">
      <c r="J845" s="212"/>
    </row>
    <row r="846" spans="10:10" ht="15.75" customHeight="1" x14ac:dyDescent="0.25">
      <c r="J846" s="212"/>
    </row>
    <row r="847" spans="10:10" ht="15.75" customHeight="1" x14ac:dyDescent="0.25">
      <c r="J847" s="212"/>
    </row>
    <row r="848" spans="10:10" ht="15.75" customHeight="1" x14ac:dyDescent="0.25">
      <c r="J848" s="212"/>
    </row>
    <row r="849" spans="10:10" ht="15.75" customHeight="1" x14ac:dyDescent="0.25">
      <c r="J849" s="212"/>
    </row>
    <row r="850" spans="10:10" ht="15.75" customHeight="1" x14ac:dyDescent="0.25">
      <c r="J850" s="212"/>
    </row>
    <row r="851" spans="10:10" ht="15.75" customHeight="1" x14ac:dyDescent="0.25">
      <c r="J851" s="212"/>
    </row>
    <row r="852" spans="10:10" ht="15.75" customHeight="1" x14ac:dyDescent="0.25">
      <c r="J852" s="212"/>
    </row>
    <row r="853" spans="10:10" ht="15.75" customHeight="1" x14ac:dyDescent="0.25">
      <c r="J853" s="212"/>
    </row>
    <row r="854" spans="10:10" ht="15.75" customHeight="1" x14ac:dyDescent="0.25">
      <c r="J854" s="212"/>
    </row>
    <row r="855" spans="10:10" ht="15.75" customHeight="1" x14ac:dyDescent="0.25">
      <c r="J855" s="212"/>
    </row>
    <row r="856" spans="10:10" ht="15.75" customHeight="1" x14ac:dyDescent="0.25">
      <c r="J856" s="212"/>
    </row>
    <row r="857" spans="10:10" ht="15.75" customHeight="1" x14ac:dyDescent="0.25">
      <c r="J857" s="212"/>
    </row>
    <row r="858" spans="10:10" ht="15.75" customHeight="1" x14ac:dyDescent="0.25">
      <c r="J858" s="212"/>
    </row>
    <row r="859" spans="10:10" ht="15.75" customHeight="1" x14ac:dyDescent="0.25">
      <c r="J859" s="212"/>
    </row>
    <row r="860" spans="10:10" ht="15.75" customHeight="1" x14ac:dyDescent="0.25">
      <c r="J860" s="212"/>
    </row>
    <row r="861" spans="10:10" ht="15.75" customHeight="1" x14ac:dyDescent="0.25">
      <c r="J861" s="212"/>
    </row>
    <row r="862" spans="10:10" ht="15.75" customHeight="1" x14ac:dyDescent="0.25">
      <c r="J862" s="212"/>
    </row>
    <row r="863" spans="10:10" ht="15.75" customHeight="1" x14ac:dyDescent="0.25">
      <c r="J863" s="212"/>
    </row>
    <row r="864" spans="10:10" ht="15.75" customHeight="1" x14ac:dyDescent="0.25">
      <c r="J864" s="212"/>
    </row>
    <row r="865" spans="10:10" ht="15.75" customHeight="1" x14ac:dyDescent="0.25">
      <c r="J865" s="212"/>
    </row>
    <row r="866" spans="10:10" ht="15.75" customHeight="1" x14ac:dyDescent="0.25">
      <c r="J866" s="212"/>
    </row>
    <row r="867" spans="10:10" ht="15.75" customHeight="1" x14ac:dyDescent="0.25">
      <c r="J867" s="212"/>
    </row>
    <row r="868" spans="10:10" ht="15.75" customHeight="1" x14ac:dyDescent="0.25">
      <c r="J868" s="212"/>
    </row>
    <row r="869" spans="10:10" ht="15.75" customHeight="1" x14ac:dyDescent="0.25">
      <c r="J869" s="212"/>
    </row>
    <row r="870" spans="10:10" ht="15.75" customHeight="1" x14ac:dyDescent="0.25">
      <c r="J870" s="212"/>
    </row>
    <row r="871" spans="10:10" ht="15.75" customHeight="1" x14ac:dyDescent="0.25">
      <c r="J871" s="212"/>
    </row>
    <row r="872" spans="10:10" ht="15.75" customHeight="1" x14ac:dyDescent="0.25">
      <c r="J872" s="212"/>
    </row>
    <row r="873" spans="10:10" ht="15.75" customHeight="1" x14ac:dyDescent="0.25">
      <c r="J873" s="212"/>
    </row>
    <row r="874" spans="10:10" ht="15.75" customHeight="1" x14ac:dyDescent="0.25">
      <c r="J874" s="212"/>
    </row>
    <row r="875" spans="10:10" ht="15.75" customHeight="1" x14ac:dyDescent="0.25">
      <c r="J875" s="212"/>
    </row>
    <row r="876" spans="10:10" ht="15.75" customHeight="1" x14ac:dyDescent="0.25">
      <c r="J876" s="212"/>
    </row>
    <row r="877" spans="10:10" ht="15.75" customHeight="1" x14ac:dyDescent="0.25">
      <c r="J877" s="212"/>
    </row>
    <row r="878" spans="10:10" ht="15.75" customHeight="1" x14ac:dyDescent="0.25">
      <c r="J878" s="212"/>
    </row>
    <row r="879" spans="10:10" ht="15.75" customHeight="1" x14ac:dyDescent="0.25">
      <c r="J879" s="212"/>
    </row>
    <row r="880" spans="10:10" ht="15.75" customHeight="1" x14ac:dyDescent="0.25">
      <c r="J880" s="212"/>
    </row>
    <row r="881" spans="10:10" ht="15.75" customHeight="1" x14ac:dyDescent="0.25">
      <c r="J881" s="212"/>
    </row>
    <row r="882" spans="10:10" ht="15.75" customHeight="1" x14ac:dyDescent="0.25">
      <c r="J882" s="212"/>
    </row>
    <row r="883" spans="10:10" ht="15.75" customHeight="1" x14ac:dyDescent="0.25">
      <c r="J883" s="212"/>
    </row>
    <row r="884" spans="10:10" ht="15.75" customHeight="1" x14ac:dyDescent="0.25">
      <c r="J884" s="212"/>
    </row>
    <row r="885" spans="10:10" ht="15.75" customHeight="1" x14ac:dyDescent="0.25">
      <c r="J885" s="212"/>
    </row>
    <row r="886" spans="10:10" ht="15.75" customHeight="1" x14ac:dyDescent="0.25">
      <c r="J886" s="212"/>
    </row>
    <row r="887" spans="10:10" ht="15.75" customHeight="1" x14ac:dyDescent="0.25">
      <c r="J887" s="212"/>
    </row>
    <row r="888" spans="10:10" ht="15.75" customHeight="1" x14ac:dyDescent="0.25">
      <c r="J888" s="212"/>
    </row>
    <row r="889" spans="10:10" ht="15.75" customHeight="1" x14ac:dyDescent="0.25">
      <c r="J889" s="212"/>
    </row>
    <row r="890" spans="10:10" ht="15.75" customHeight="1" x14ac:dyDescent="0.25">
      <c r="J890" s="212"/>
    </row>
    <row r="891" spans="10:10" ht="15.75" customHeight="1" x14ac:dyDescent="0.25">
      <c r="J891" s="212"/>
    </row>
    <row r="892" spans="10:10" ht="15.75" customHeight="1" x14ac:dyDescent="0.25">
      <c r="J892" s="212"/>
    </row>
    <row r="893" spans="10:10" ht="15.75" customHeight="1" x14ac:dyDescent="0.25">
      <c r="J893" s="212"/>
    </row>
    <row r="894" spans="10:10" ht="15.75" customHeight="1" x14ac:dyDescent="0.25">
      <c r="J894" s="212"/>
    </row>
    <row r="895" spans="10:10" ht="15.75" customHeight="1" x14ac:dyDescent="0.25">
      <c r="J895" s="212"/>
    </row>
    <row r="896" spans="10:10" ht="15.75" customHeight="1" x14ac:dyDescent="0.25">
      <c r="J896" s="212"/>
    </row>
    <row r="897" spans="10:10" ht="15.75" customHeight="1" x14ac:dyDescent="0.25">
      <c r="J897" s="212"/>
    </row>
    <row r="898" spans="10:10" ht="15.75" customHeight="1" x14ac:dyDescent="0.25">
      <c r="J898" s="212"/>
    </row>
    <row r="899" spans="10:10" ht="15.75" customHeight="1" x14ac:dyDescent="0.25">
      <c r="J899" s="212"/>
    </row>
    <row r="900" spans="10:10" ht="15.75" customHeight="1" x14ac:dyDescent="0.25">
      <c r="J900" s="212"/>
    </row>
    <row r="901" spans="10:10" ht="15.75" customHeight="1" x14ac:dyDescent="0.25">
      <c r="J901" s="212"/>
    </row>
    <row r="902" spans="10:10" ht="15.75" customHeight="1" x14ac:dyDescent="0.25">
      <c r="J902" s="212"/>
    </row>
    <row r="903" spans="10:10" ht="15.75" customHeight="1" x14ac:dyDescent="0.25">
      <c r="J903" s="212"/>
    </row>
    <row r="904" spans="10:10" ht="15.75" customHeight="1" x14ac:dyDescent="0.25">
      <c r="J904" s="212"/>
    </row>
    <row r="905" spans="10:10" ht="15.75" customHeight="1" x14ac:dyDescent="0.25">
      <c r="J905" s="212"/>
    </row>
    <row r="906" spans="10:10" ht="15.75" customHeight="1" x14ac:dyDescent="0.25">
      <c r="J906" s="212"/>
    </row>
    <row r="907" spans="10:10" ht="15.75" customHeight="1" x14ac:dyDescent="0.25">
      <c r="J907" s="212"/>
    </row>
    <row r="908" spans="10:10" ht="15.75" customHeight="1" x14ac:dyDescent="0.25">
      <c r="J908" s="212"/>
    </row>
    <row r="909" spans="10:10" ht="15.75" customHeight="1" x14ac:dyDescent="0.25">
      <c r="J909" s="212"/>
    </row>
    <row r="910" spans="10:10" ht="15.75" customHeight="1" x14ac:dyDescent="0.25">
      <c r="J910" s="212"/>
    </row>
    <row r="911" spans="10:10" ht="15.75" customHeight="1" x14ac:dyDescent="0.25">
      <c r="J911" s="212"/>
    </row>
    <row r="912" spans="10:10" ht="15.75" customHeight="1" x14ac:dyDescent="0.25">
      <c r="J912" s="212"/>
    </row>
    <row r="913" spans="10:10" ht="15.75" customHeight="1" x14ac:dyDescent="0.25">
      <c r="J913" s="212"/>
    </row>
    <row r="914" spans="10:10" ht="15.75" customHeight="1" x14ac:dyDescent="0.25">
      <c r="J914" s="212"/>
    </row>
    <row r="915" spans="10:10" ht="15.75" customHeight="1" x14ac:dyDescent="0.25">
      <c r="J915" s="212"/>
    </row>
    <row r="916" spans="10:10" ht="15.75" customHeight="1" x14ac:dyDescent="0.25">
      <c r="J916" s="212"/>
    </row>
    <row r="917" spans="10:10" ht="15.75" customHeight="1" x14ac:dyDescent="0.25">
      <c r="J917" s="212"/>
    </row>
    <row r="918" spans="10:10" ht="15.75" customHeight="1" x14ac:dyDescent="0.25">
      <c r="J918" s="212"/>
    </row>
    <row r="919" spans="10:10" ht="15.75" customHeight="1" x14ac:dyDescent="0.25">
      <c r="J919" s="212"/>
    </row>
    <row r="920" spans="10:10" ht="15.75" customHeight="1" x14ac:dyDescent="0.25">
      <c r="J920" s="212"/>
    </row>
    <row r="921" spans="10:10" ht="15.75" customHeight="1" x14ac:dyDescent="0.25">
      <c r="J921" s="212"/>
    </row>
    <row r="922" spans="10:10" ht="15.75" customHeight="1" x14ac:dyDescent="0.25">
      <c r="J922" s="212"/>
    </row>
    <row r="923" spans="10:10" ht="15.75" customHeight="1" x14ac:dyDescent="0.25">
      <c r="J923" s="212"/>
    </row>
    <row r="924" spans="10:10" ht="15.75" customHeight="1" x14ac:dyDescent="0.25">
      <c r="J924" s="212"/>
    </row>
    <row r="925" spans="10:10" ht="15.75" customHeight="1" x14ac:dyDescent="0.25">
      <c r="J925" s="212"/>
    </row>
    <row r="926" spans="10:10" ht="15.75" customHeight="1" x14ac:dyDescent="0.25">
      <c r="J926" s="212"/>
    </row>
    <row r="927" spans="10:10" ht="15.75" customHeight="1" x14ac:dyDescent="0.25">
      <c r="J927" s="212"/>
    </row>
    <row r="928" spans="10:10" ht="15.75" customHeight="1" x14ac:dyDescent="0.25">
      <c r="J928" s="212"/>
    </row>
    <row r="929" spans="10:10" ht="15.75" customHeight="1" x14ac:dyDescent="0.25">
      <c r="J929" s="212"/>
    </row>
    <row r="930" spans="10:10" ht="15.75" customHeight="1" x14ac:dyDescent="0.25">
      <c r="J930" s="212"/>
    </row>
    <row r="931" spans="10:10" ht="15.75" customHeight="1" x14ac:dyDescent="0.25">
      <c r="J931" s="212"/>
    </row>
    <row r="932" spans="10:10" ht="15.75" customHeight="1" x14ac:dyDescent="0.25">
      <c r="J932" s="212"/>
    </row>
    <row r="933" spans="10:10" ht="15.75" customHeight="1" x14ac:dyDescent="0.25">
      <c r="J933" s="212"/>
    </row>
    <row r="934" spans="10:10" ht="15.75" customHeight="1" x14ac:dyDescent="0.25">
      <c r="J934" s="212"/>
    </row>
    <row r="935" spans="10:10" ht="15.75" customHeight="1" x14ac:dyDescent="0.25">
      <c r="J935" s="212"/>
    </row>
    <row r="936" spans="10:10" ht="15.75" customHeight="1" x14ac:dyDescent="0.25">
      <c r="J936" s="212"/>
    </row>
    <row r="937" spans="10:10" ht="15.75" customHeight="1" x14ac:dyDescent="0.25">
      <c r="J937" s="212"/>
    </row>
    <row r="938" spans="10:10" ht="15.75" customHeight="1" x14ac:dyDescent="0.25">
      <c r="J938" s="212"/>
    </row>
    <row r="939" spans="10:10" ht="15.75" customHeight="1" x14ac:dyDescent="0.25">
      <c r="J939" s="212"/>
    </row>
    <row r="940" spans="10:10" ht="15.75" customHeight="1" x14ac:dyDescent="0.25">
      <c r="J940" s="212"/>
    </row>
    <row r="941" spans="10:10" ht="15.75" customHeight="1" x14ac:dyDescent="0.25">
      <c r="J941" s="212"/>
    </row>
    <row r="942" spans="10:10" ht="15.75" customHeight="1" x14ac:dyDescent="0.25">
      <c r="J942" s="212"/>
    </row>
    <row r="943" spans="10:10" ht="15.75" customHeight="1" x14ac:dyDescent="0.25">
      <c r="J943" s="212"/>
    </row>
    <row r="944" spans="10:10" ht="15.75" customHeight="1" x14ac:dyDescent="0.25">
      <c r="J944" s="212"/>
    </row>
    <row r="945" spans="10:10" ht="15.75" customHeight="1" x14ac:dyDescent="0.25">
      <c r="J945" s="212"/>
    </row>
    <row r="946" spans="10:10" ht="15.75" customHeight="1" x14ac:dyDescent="0.25">
      <c r="J946" s="212"/>
    </row>
    <row r="947" spans="10:10" ht="15.75" customHeight="1" x14ac:dyDescent="0.25">
      <c r="J947" s="212"/>
    </row>
    <row r="948" spans="10:10" ht="15.75" customHeight="1" x14ac:dyDescent="0.25">
      <c r="J948" s="212"/>
    </row>
    <row r="949" spans="10:10" ht="15.75" customHeight="1" x14ac:dyDescent="0.25">
      <c r="J949" s="212"/>
    </row>
    <row r="950" spans="10:10" ht="15.75" customHeight="1" x14ac:dyDescent="0.25">
      <c r="J950" s="212"/>
    </row>
    <row r="951" spans="10:10" ht="15.75" customHeight="1" x14ac:dyDescent="0.25">
      <c r="J951" s="212"/>
    </row>
    <row r="952" spans="10:10" ht="15.75" customHeight="1" x14ac:dyDescent="0.25">
      <c r="J952" s="212"/>
    </row>
    <row r="953" spans="10:10" ht="15.75" customHeight="1" x14ac:dyDescent="0.25">
      <c r="J953" s="212"/>
    </row>
    <row r="954" spans="10:10" ht="15.75" customHeight="1" x14ac:dyDescent="0.25">
      <c r="J954" s="212"/>
    </row>
    <row r="955" spans="10:10" ht="15.75" customHeight="1" x14ac:dyDescent="0.25">
      <c r="J955" s="212"/>
    </row>
    <row r="956" spans="10:10" ht="15.75" customHeight="1" x14ac:dyDescent="0.25">
      <c r="J956" s="212"/>
    </row>
    <row r="957" spans="10:10" ht="15.75" customHeight="1" x14ac:dyDescent="0.25">
      <c r="J957" s="212"/>
    </row>
    <row r="958" spans="10:10" ht="15.75" customHeight="1" x14ac:dyDescent="0.25">
      <c r="J958" s="212"/>
    </row>
    <row r="959" spans="10:10" ht="15.75" customHeight="1" x14ac:dyDescent="0.25">
      <c r="J959" s="212"/>
    </row>
    <row r="960" spans="10:10" ht="15.75" customHeight="1" x14ac:dyDescent="0.25">
      <c r="J960" s="212"/>
    </row>
    <row r="961" spans="10:10" ht="15.75" customHeight="1" x14ac:dyDescent="0.25">
      <c r="J961" s="212"/>
    </row>
    <row r="962" spans="10:10" ht="15.75" customHeight="1" x14ac:dyDescent="0.25">
      <c r="J962" s="212"/>
    </row>
    <row r="963" spans="10:10" ht="15.75" customHeight="1" x14ac:dyDescent="0.25">
      <c r="J963" s="212"/>
    </row>
    <row r="964" spans="10:10" ht="15.75" customHeight="1" x14ac:dyDescent="0.25">
      <c r="J964" s="212"/>
    </row>
    <row r="965" spans="10:10" ht="15.75" customHeight="1" x14ac:dyDescent="0.25">
      <c r="J965" s="212"/>
    </row>
    <row r="966" spans="10:10" ht="15.75" customHeight="1" x14ac:dyDescent="0.25">
      <c r="J966" s="212"/>
    </row>
    <row r="967" spans="10:10" ht="15.75" customHeight="1" x14ac:dyDescent="0.25">
      <c r="J967" s="212"/>
    </row>
    <row r="968" spans="10:10" ht="15.75" customHeight="1" x14ac:dyDescent="0.25">
      <c r="J968" s="212"/>
    </row>
    <row r="969" spans="10:10" ht="15.75" customHeight="1" x14ac:dyDescent="0.25">
      <c r="J969" s="212"/>
    </row>
    <row r="970" spans="10:10" ht="15.75" customHeight="1" x14ac:dyDescent="0.25">
      <c r="J970" s="212"/>
    </row>
    <row r="971" spans="10:10" ht="15.75" customHeight="1" x14ac:dyDescent="0.25">
      <c r="J971" s="212"/>
    </row>
    <row r="972" spans="10:10" ht="15.75" customHeight="1" x14ac:dyDescent="0.25">
      <c r="J972" s="212"/>
    </row>
    <row r="973" spans="10:10" ht="15.75" customHeight="1" x14ac:dyDescent="0.25">
      <c r="J973" s="212"/>
    </row>
    <row r="974" spans="10:10" ht="15.75" customHeight="1" x14ac:dyDescent="0.25">
      <c r="J974" s="212"/>
    </row>
    <row r="975" spans="10:10" ht="15.75" customHeight="1" x14ac:dyDescent="0.25">
      <c r="J975" s="212"/>
    </row>
    <row r="976" spans="10:10" ht="15.75" customHeight="1" x14ac:dyDescent="0.25">
      <c r="J976" s="212"/>
    </row>
    <row r="977" spans="10:10" ht="15.75" customHeight="1" x14ac:dyDescent="0.25">
      <c r="J977" s="212"/>
    </row>
    <row r="978" spans="10:10" ht="15.75" customHeight="1" x14ac:dyDescent="0.25">
      <c r="J978" s="212"/>
    </row>
    <row r="979" spans="10:10" ht="15.75" customHeight="1" x14ac:dyDescent="0.25">
      <c r="J979" s="212"/>
    </row>
    <row r="980" spans="10:10" ht="15.75" customHeight="1" x14ac:dyDescent="0.25">
      <c r="J980" s="212"/>
    </row>
    <row r="981" spans="10:10" ht="15.75" customHeight="1" x14ac:dyDescent="0.25">
      <c r="J981" s="212"/>
    </row>
    <row r="982" spans="10:10" ht="15.75" customHeight="1" x14ac:dyDescent="0.25">
      <c r="J982" s="212"/>
    </row>
    <row r="983" spans="10:10" ht="15.75" customHeight="1" x14ac:dyDescent="0.25">
      <c r="J983" s="212"/>
    </row>
    <row r="984" spans="10:10" ht="15.75" customHeight="1" x14ac:dyDescent="0.25">
      <c r="J984" s="212"/>
    </row>
    <row r="985" spans="10:10" ht="15.75" customHeight="1" x14ac:dyDescent="0.25">
      <c r="J985" s="212"/>
    </row>
    <row r="986" spans="10:10" ht="15.75" customHeight="1" x14ac:dyDescent="0.25">
      <c r="J986" s="212"/>
    </row>
    <row r="987" spans="10:10" ht="15.75" customHeight="1" x14ac:dyDescent="0.25">
      <c r="J987" s="212"/>
    </row>
    <row r="988" spans="10:10" ht="15.75" customHeight="1" x14ac:dyDescent="0.25">
      <c r="J988" s="212"/>
    </row>
    <row r="989" spans="10:10" ht="15.75" customHeight="1" x14ac:dyDescent="0.25">
      <c r="J989" s="212"/>
    </row>
    <row r="990" spans="10:10" ht="15.75" customHeight="1" x14ac:dyDescent="0.25">
      <c r="J990" s="212"/>
    </row>
    <row r="991" spans="10:10" ht="15.75" customHeight="1" x14ac:dyDescent="0.25">
      <c r="J991" s="212"/>
    </row>
    <row r="992" spans="10:10" ht="15.75" customHeight="1" x14ac:dyDescent="0.25">
      <c r="J992" s="212"/>
    </row>
    <row r="993" spans="10:10" ht="15.75" customHeight="1" x14ac:dyDescent="0.25">
      <c r="J993" s="212"/>
    </row>
    <row r="994" spans="10:10" ht="15.75" customHeight="1" x14ac:dyDescent="0.25">
      <c r="J994" s="212"/>
    </row>
    <row r="995" spans="10:10" ht="15.75" customHeight="1" x14ac:dyDescent="0.25">
      <c r="J995" s="212"/>
    </row>
    <row r="996" spans="10:10" ht="15.75" customHeight="1" x14ac:dyDescent="0.25">
      <c r="J996" s="212"/>
    </row>
    <row r="997" spans="10:10" ht="15.75" customHeight="1" x14ac:dyDescent="0.25">
      <c r="J997" s="212"/>
    </row>
    <row r="998" spans="10:10" ht="15.75" customHeight="1" x14ac:dyDescent="0.25">
      <c r="J998" s="212"/>
    </row>
    <row r="999" spans="10:10" ht="15.75" customHeight="1" x14ac:dyDescent="0.25">
      <c r="J999" s="212"/>
    </row>
    <row r="1000" spans="10:10" ht="15.75" customHeight="1" x14ac:dyDescent="0.25">
      <c r="J1000" s="212"/>
    </row>
  </sheetData>
  <mergeCells count="2">
    <mergeCell ref="B1:E1"/>
    <mergeCell ref="F1:J1"/>
  </mergeCells>
  <conditionalFormatting sqref="A1:L1000">
    <cfRule type="expression" dxfId="7" priority="1">
      <formula>$J:$J="Si"</formula>
    </cfRule>
    <cfRule type="expression" dxfId="6" priority="2">
      <formula>$J:$J="Por definir precio"</formula>
    </cfRule>
    <cfRule type="expression" dxfId="5" priority="3">
      <formula>$J:$J="Precio definido"</formula>
    </cfRule>
    <cfRule type="expression" dxfId="4" priority="4">
      <formula>$J:$J="2025"</formula>
    </cfRule>
    <cfRule type="expression" dxfId="3" priority="5">
      <formula>$J:$J="OK Geni"</formula>
    </cfRule>
    <cfRule type="expression" dxfId="2" priority="6">
      <formula>$J:$J="Cambiando precio"</formula>
    </cfRule>
  </conditionalFormatting>
  <conditionalFormatting sqref="A8:L8">
    <cfRule type="containsText" dxfId="1" priority="7" operator="containsText" text="Precio definido">
      <formula>NOT(ISERROR(SEARCH(("Precio definido"),(A8))))</formula>
    </cfRule>
  </conditionalFormatting>
  <conditionalFormatting sqref="J52:L52">
    <cfRule type="notContainsBlanks" dxfId="0" priority="8">
      <formula>LEN(TRIM(J52))&gt;0</formula>
    </cfRule>
  </conditionalFormatting>
  <dataValidations count="2">
    <dataValidation type="list" allowBlank="1" showErrorMessage="1" sqref="J2:J21 J23:J1000" xr:uid="{00000000-0002-0000-0500-000000000000}">
      <formula1>"Si,Por definir precio,2025,Precio definido,OK Geni,Cambiando precio"</formula1>
    </dataValidation>
    <dataValidation type="list" allowBlank="1" showErrorMessage="1" sqref="J22" xr:uid="{00000000-0002-0000-0500-000001000000}">
      <formula1>"Option 1,Option 2"</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CONF </vt:lpstr>
      <vt:lpstr>Voucher</vt:lpstr>
      <vt:lpstr>Voucher OLD</vt:lpstr>
      <vt:lpstr>Datos</vt:lpstr>
      <vt:lpstr>TARIFAS </vt:lpstr>
      <vt:lpstr>Historico TARIFAS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Blasini</dc:creator>
  <cp:lastModifiedBy>LUIS BLASINI</cp:lastModifiedBy>
  <dcterms:created xsi:type="dcterms:W3CDTF">2021-09-08T17:39:29Z</dcterms:created>
  <dcterms:modified xsi:type="dcterms:W3CDTF">2026-02-15T00:39:10Z</dcterms:modified>
</cp:coreProperties>
</file>